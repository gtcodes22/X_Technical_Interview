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Loans" sheetId="2" r:id="rId5"/>
    <sheet state="visible" name="Payments" sheetId="3" r:id="rId6"/>
    <sheet state="visible" name="Contact History" sheetId="4" r:id="rId7"/>
  </sheets>
  <definedNames>
    <definedName hidden="1" localSheetId="1" name="_xlnm._FilterDatabase">Loans!$A$1:$U$151</definedName>
    <definedName hidden="1" localSheetId="2" name="_xlnm._FilterDatabase">Payments!$A$1:$G$33</definedName>
    <definedName hidden="1" localSheetId="3" name="_xlnm._FilterDatabase">'Contact History'!$A$1:$G$84</definedName>
  </definedNames>
  <calcPr/>
  <extLst>
    <ext uri="GoogleSheetsCustomDataVersion2">
      <go:sheetsCustomData xmlns:go="http://customooxmlschemas.google.com/" r:id="rId8" roundtripDataChecksum="ltp01c1UNw7HhZzQRnzAtKFpv19r5v4GKqcRNkXzZRU="/>
    </ext>
  </extLst>
</workbook>
</file>

<file path=xl/sharedStrings.xml><?xml version="1.0" encoding="utf-8"?>
<sst xmlns="http://schemas.openxmlformats.org/spreadsheetml/2006/main" count="2326" uniqueCount="992">
  <si>
    <t>Kopano Microfinance — data extract</t>
  </si>
  <si>
    <t>Treat today as</t>
  </si>
  <si>
    <t>Tuesday 6 October 2026</t>
  </si>
  <si>
    <t>loan_id</t>
  </si>
  <si>
    <t>Sheet</t>
  </si>
  <si>
    <t>borrower_id</t>
  </si>
  <si>
    <t>first_name</t>
  </si>
  <si>
    <t>last_name</t>
  </si>
  <si>
    <t>Contents</t>
  </si>
  <si>
    <t>phone</t>
  </si>
  <si>
    <t>id_last4</t>
  </si>
  <si>
    <t>Loans</t>
  </si>
  <si>
    <t>branch</t>
  </si>
  <si>
    <t>loan_officer</t>
  </si>
  <si>
    <t>Loan book exported from the core lending system as at close of business Wednesday 30 September 2026. Balances, arrears and days overdue are as at that date.</t>
  </si>
  <si>
    <t>product</t>
  </si>
  <si>
    <t>disbursed_on</t>
  </si>
  <si>
    <t>principal_bwp</t>
  </si>
  <si>
    <t>Payments</t>
  </si>
  <si>
    <t>term_months</t>
  </si>
  <si>
    <t>Payments received through mobile money and bank transfer between 1 and 5 October 2026. These have NOT yet been allocated to loans, so they are not reflected in the Loans sheet.</t>
  </si>
  <si>
    <t>monthly_instalment_bwp</t>
  </si>
  <si>
    <t>instalments_paid</t>
  </si>
  <si>
    <t>Contact History</t>
  </si>
  <si>
    <t>arrears_bwp</t>
  </si>
  <si>
    <t>Log of collections contacts made by loan officers between 1 September and 5 October 2026, as entered by the officers.</t>
  </si>
  <si>
    <t>penalties_bwp</t>
  </si>
  <si>
    <t>outstanding_balance_bwp</t>
  </si>
  <si>
    <t>next_due_date</t>
  </si>
  <si>
    <t>days_overdue</t>
  </si>
  <si>
    <t>status</t>
  </si>
  <si>
    <t>Loans — column</t>
  </si>
  <si>
    <t>payment_holiday_used</t>
  </si>
  <si>
    <t>Meaning</t>
  </si>
  <si>
    <t>KM-L-0001</t>
  </si>
  <si>
    <t>Unique loan identifier. Customers are asked to use this as their payment reference.</t>
  </si>
  <si>
    <t>KB-10001</t>
  </si>
  <si>
    <t>Unique borrower identifier. A borrower may hold more than one loan.</t>
  </si>
  <si>
    <t>Amantle</t>
  </si>
  <si>
    <t>Modise</t>
  </si>
  <si>
    <t>+267 71 084 258</t>
  </si>
  <si>
    <t>Registered mobile number of the borrower.</t>
  </si>
  <si>
    <t>4216</t>
  </si>
  <si>
    <t>Last four digits of the borrower's Omang or passport number. Used for identity verification.</t>
  </si>
  <si>
    <t>Gaborone Main Mall</t>
  </si>
  <si>
    <t>Mmoloki Sebina</t>
  </si>
  <si>
    <t>Instalment amount due each month, in Botswana Pula.</t>
  </si>
  <si>
    <t>Small Business Loan</t>
  </si>
  <si>
    <t>Number of instalments fully paid.</t>
  </si>
  <si>
    <t>Value of instalments that are due but unpaid.</t>
  </si>
  <si>
    <t>Late-payment penalties charged and unpaid.</t>
  </si>
  <si>
    <t>Total amount still to be repaid on the loan, including arrears and penalties.</t>
  </si>
  <si>
    <t>For loans in arrears, the date of the oldest unpaid instalment. Otherwise, the next instalment date.</t>
  </si>
  <si>
    <t>Days since the oldest unpaid instalment fell due, as at the export date.</t>
  </si>
  <si>
    <t>Whether the borrower has previously taken a payment holiday on this loan.</t>
  </si>
  <si>
    <t>In arrears</t>
  </si>
  <si>
    <t>No</t>
  </si>
  <si>
    <t>date</t>
  </si>
  <si>
    <t>txn_ref</t>
  </si>
  <si>
    <t>borrower</t>
  </si>
  <si>
    <t>received_at</t>
  </si>
  <si>
    <t>officer</t>
  </si>
  <si>
    <t>channel</t>
  </si>
  <si>
    <t>payer_phone</t>
  </si>
  <si>
    <t>outcome_notes</t>
  </si>
  <si>
    <t>payer_name</t>
  </si>
  <si>
    <t>promise_date</t>
  </si>
  <si>
    <t>payment_reference</t>
  </si>
  <si>
    <t>amount</t>
  </si>
  <si>
    <t>KM-L-0042</t>
  </si>
  <si>
    <t>Tshepo Pule</t>
  </si>
  <si>
    <t>Lorato</t>
  </si>
  <si>
    <t>OM55027374</t>
  </si>
  <si>
    <t>Call</t>
  </si>
  <si>
    <t>2026-10-01 16:18</t>
  </si>
  <si>
    <t>PTP 20/8</t>
  </si>
  <si>
    <t>Orange Money</t>
  </si>
  <si>
    <t>0026777217151</t>
  </si>
  <si>
    <t>Tau K</t>
  </si>
  <si>
    <t>KM-L-0069</t>
  </si>
  <si>
    <t>KM-L-0058</t>
  </si>
  <si>
    <t>Kgomotso Oagile</t>
  </si>
  <si>
    <t>Olebile M</t>
  </si>
  <si>
    <t>OM35549556</t>
  </si>
  <si>
    <t>Customer says already paid</t>
  </si>
  <si>
    <t>2026-10-01 17:01</t>
  </si>
  <si>
    <t>072087135</t>
  </si>
  <si>
    <t>Rakgomo O</t>
  </si>
  <si>
    <t>KM-L-0065</t>
  </si>
  <si>
    <t>KM-L-0061</t>
  </si>
  <si>
    <t>Sethunya Modise</t>
  </si>
  <si>
    <t>OM60328058</t>
  </si>
  <si>
    <t>lorato</t>
  </si>
  <si>
    <t>2026-10-01 20:22</t>
  </si>
  <si>
    <t>26771293629</t>
  </si>
  <si>
    <t>Will come to branch</t>
  </si>
  <si>
    <t>Goabaone Mabote</t>
  </si>
  <si>
    <t>loan 144</t>
  </si>
  <si>
    <t>KM-L-0097</t>
  </si>
  <si>
    <t>P 1,980.00</t>
  </si>
  <si>
    <t>Amantle Nkwe</t>
  </si>
  <si>
    <t>Bame</t>
  </si>
  <si>
    <t>OM59448527</t>
  </si>
  <si>
    <t>Branch visit</t>
  </si>
  <si>
    <t>2026-10-02 07:03</t>
  </si>
  <si>
    <t>no ans</t>
  </si>
  <si>
    <t>0026775814939</t>
  </si>
  <si>
    <t>SETHUNYA MODISE</t>
  </si>
  <si>
    <t>loan 61</t>
  </si>
  <si>
    <t>2,090.00</t>
  </si>
  <si>
    <t>KM-L-0046</t>
  </si>
  <si>
    <t>MZ61629306</t>
  </si>
  <si>
    <t>Keitumetse Nthebolang</t>
  </si>
  <si>
    <t>2026-10-02 08:50</t>
  </si>
  <si>
    <t>MyZaka</t>
  </si>
  <si>
    <t>SMS</t>
  </si>
  <si>
    <t>76319403</t>
  </si>
  <si>
    <t>TEBOGO KOOSIMILE</t>
  </si>
  <si>
    <t>Due date reminder</t>
  </si>
  <si>
    <t>MZ57846384</t>
  </si>
  <si>
    <t>2026-10-02 10:10</t>
  </si>
  <si>
    <t>KM-L-0092</t>
  </si>
  <si>
    <t>KM-L-0002</t>
  </si>
  <si>
    <t>Kgomotso Dikgang</t>
  </si>
  <si>
    <t>KB-10002</t>
  </si>
  <si>
    <t>Tshiamo</t>
  </si>
  <si>
    <t>72859218</t>
  </si>
  <si>
    <t>WhatsApp</t>
  </si>
  <si>
    <t>Tumelo</t>
  </si>
  <si>
    <t>Mbaakanyi L</t>
  </si>
  <si>
    <t>reminder sent</t>
  </si>
  <si>
    <t>KML0141</t>
  </si>
  <si>
    <t>Rakgomo</t>
  </si>
  <si>
    <t>+267 71 699 280</t>
  </si>
  <si>
    <t>1598</t>
  </si>
  <si>
    <t>Francistown</t>
  </si>
  <si>
    <t>2026-10-02 10:11</t>
  </si>
  <si>
    <t>Olebile Moatlhodi</t>
  </si>
  <si>
    <t>KM-L-0044</t>
  </si>
  <si>
    <t>Salary Advance</t>
  </si>
  <si>
    <t>Lesego Kgathi</t>
  </si>
  <si>
    <t>B Mokone</t>
  </si>
  <si>
    <t>Voicemail</t>
  </si>
  <si>
    <t>EFT95725860</t>
  </si>
  <si>
    <t>02/10/2026</t>
  </si>
  <si>
    <t>Bank transfer</t>
  </si>
  <si>
    <t>O SEBEGO</t>
  </si>
  <si>
    <t>KM-L-0124</t>
  </si>
  <si>
    <t>KML 0078 school fees</t>
  </si>
  <si>
    <t>Kgomotso Kgathi</t>
  </si>
  <si>
    <t>1,197.00</t>
  </si>
  <si>
    <t>Bame M</t>
  </si>
  <si>
    <t>OM19212958</t>
  </si>
  <si>
    <t>2026-10-02 13:03</t>
  </si>
  <si>
    <t>0026776476527</t>
  </si>
  <si>
    <t>Nthebolang M</t>
  </si>
  <si>
    <t>KM-L-0043</t>
  </si>
  <si>
    <t>Keitumetse Segokgo</t>
  </si>
  <si>
    <t>2026-10-02 13:05</t>
  </si>
  <si>
    <t>M. Sebina</t>
  </si>
  <si>
    <t>SM93463921</t>
  </si>
  <si>
    <t>2026-10-02 14:04</t>
  </si>
  <si>
    <t>Smega</t>
  </si>
  <si>
    <t>KM-L-0085</t>
  </si>
  <si>
    <t>074323984</t>
  </si>
  <si>
    <t>KM-L-0003</t>
  </si>
  <si>
    <t>Onalenna Setlhare</t>
  </si>
  <si>
    <t>KEITUMETSE M</t>
  </si>
  <si>
    <t>KB-10003</t>
  </si>
  <si>
    <t>KM-L-106</t>
  </si>
  <si>
    <t>Obakeng</t>
  </si>
  <si>
    <t>O. Moatlhodi</t>
  </si>
  <si>
    <t>P 8,701.28</t>
  </si>
  <si>
    <t>Ramokate</t>
  </si>
  <si>
    <t>+267 76 720 601</t>
  </si>
  <si>
    <t>4004</t>
  </si>
  <si>
    <t>Sent reminder</t>
  </si>
  <si>
    <t>OM19649728</t>
  </si>
  <si>
    <t>2026-10-03 14:00</t>
  </si>
  <si>
    <t>71 216 301</t>
  </si>
  <si>
    <t>KEABETSWE NKWE</t>
  </si>
  <si>
    <t>km-l-0016</t>
  </si>
  <si>
    <t>P 563.75</t>
  </si>
  <si>
    <t>L. Keakile</t>
  </si>
  <si>
    <t>OM62031153</t>
  </si>
  <si>
    <t>Says salary delayed</t>
  </si>
  <si>
    <t>2026-10-03 14:25</t>
  </si>
  <si>
    <t>+267 74 847 859</t>
  </si>
  <si>
    <t>Current</t>
  </si>
  <si>
    <t>NEO BAITSHEPI</t>
  </si>
  <si>
    <t>KM-L-82</t>
  </si>
  <si>
    <t>KM-L-0045</t>
  </si>
  <si>
    <t>Naledi Segokgo</t>
  </si>
  <si>
    <t>SM45313797</t>
  </si>
  <si>
    <t>2026-10-03 17:35</t>
  </si>
  <si>
    <t>73529147</t>
  </si>
  <si>
    <t>OBAKENG GAETSEWE</t>
  </si>
  <si>
    <t>KM-L-76</t>
  </si>
  <si>
    <t>KM-L-0004</t>
  </si>
  <si>
    <t>KM-L-0127</t>
  </si>
  <si>
    <t>KB-10004</t>
  </si>
  <si>
    <t>Mmaserame Tlhalefang</t>
  </si>
  <si>
    <t>MZ50008688</t>
  </si>
  <si>
    <t>Refilwe</t>
  </si>
  <si>
    <t>2026-10-04 08:20</t>
  </si>
  <si>
    <t>Olebile</t>
  </si>
  <si>
    <t>+267 75 732 741</t>
  </si>
  <si>
    <t>73070237</t>
  </si>
  <si>
    <t>5420</t>
  </si>
  <si>
    <t>N BAITSHEPI</t>
  </si>
  <si>
    <t>Tlokweng</t>
  </si>
  <si>
    <t>P 3,588.89</t>
  </si>
  <si>
    <t>Bame Mokone</t>
  </si>
  <si>
    <t>School Fees Loan</t>
  </si>
  <si>
    <t>EFT59133994</t>
  </si>
  <si>
    <t>04/10/2026</t>
  </si>
  <si>
    <t>Rakgomo R</t>
  </si>
  <si>
    <t>KM-L-41</t>
  </si>
  <si>
    <t>1,030.00</t>
  </si>
  <si>
    <t>KM-L-0141</t>
  </si>
  <si>
    <t>EFT27808030</t>
  </si>
  <si>
    <t>Lorato Mbaakanyi</t>
  </si>
  <si>
    <t>Kealeboga Ntshole</t>
  </si>
  <si>
    <t>KML 0024</t>
  </si>
  <si>
    <t>2,800.00</t>
  </si>
  <si>
    <t>KM-L-0005</t>
  </si>
  <si>
    <t>Tebogo Rakgomo</t>
  </si>
  <si>
    <t>MZ37879677</t>
  </si>
  <si>
    <t>2026-10-04 12:44</t>
  </si>
  <si>
    <t>0026777751095</t>
  </si>
  <si>
    <t>LORATO M</t>
  </si>
  <si>
    <t>KML 0040</t>
  </si>
  <si>
    <t>KM-L-0125</t>
  </si>
  <si>
    <t>KB-10005</t>
  </si>
  <si>
    <t>Kitso Maruping</t>
  </si>
  <si>
    <t>OM21741358</t>
  </si>
  <si>
    <t>Tebogo</t>
  </si>
  <si>
    <t>Mmoloki S</t>
  </si>
  <si>
    <t>2026-10-04 13:16</t>
  </si>
  <si>
    <t>+267 75 111 444</t>
  </si>
  <si>
    <t>Spoke to customer, promised to pay 20/9</t>
  </si>
  <si>
    <t>0026771736523</t>
  </si>
  <si>
    <t>8093</t>
  </si>
  <si>
    <t>LESEGO KGATHI</t>
  </si>
  <si>
    <t>P 1,300.00</t>
  </si>
  <si>
    <t>KM-L-0032</t>
  </si>
  <si>
    <t>OM89254734</t>
  </si>
  <si>
    <t>Naledi Sechele</t>
  </si>
  <si>
    <t>2026-10-04 15:12</t>
  </si>
  <si>
    <t>will pay friday</t>
  </si>
  <si>
    <t>72 682 137</t>
  </si>
  <si>
    <t>TUMELO SELEKA</t>
  </si>
  <si>
    <t>KM-L-62</t>
  </si>
  <si>
    <t>OM97489154</t>
  </si>
  <si>
    <t>2026-10-04 15:19</t>
  </si>
  <si>
    <t>73660860</t>
  </si>
  <si>
    <t>T OAGILE</t>
  </si>
  <si>
    <t>KM-L-0016</t>
  </si>
  <si>
    <t>OM29593180</t>
  </si>
  <si>
    <t>Keabetswe Nkwe</t>
  </si>
  <si>
    <t>2026-10-04 16:13</t>
  </si>
  <si>
    <t>74840199</t>
  </si>
  <si>
    <t>KM-L-0006</t>
  </si>
  <si>
    <t>GAONE OAGILE</t>
  </si>
  <si>
    <t>KB-10006</t>
  </si>
  <si>
    <t>Reminder sent via WA</t>
  </si>
  <si>
    <t>Boitumelo</t>
  </si>
  <si>
    <t>Mabote</t>
  </si>
  <si>
    <t>MZ85449835</t>
  </si>
  <si>
    <t>+267 77 886 297</t>
  </si>
  <si>
    <t>3566</t>
  </si>
  <si>
    <t>2026-10-04 18:20</t>
  </si>
  <si>
    <t>KM-L-0066</t>
  </si>
  <si>
    <t>Boipelo Mabote</t>
  </si>
  <si>
    <t>77 267 611</t>
  </si>
  <si>
    <t>T Ntsima</t>
  </si>
  <si>
    <t>GOITSEONE M</t>
  </si>
  <si>
    <t>KM-L-94</t>
  </si>
  <si>
    <t>2026-10-04 18:27</t>
  </si>
  <si>
    <t>Business slow, will pay end of month</t>
  </si>
  <si>
    <t>OM72522105</t>
  </si>
  <si>
    <t>2026-10-05 07:35</t>
  </si>
  <si>
    <t>26776119224</t>
  </si>
  <si>
    <t>Pako Mooketsi</t>
  </si>
  <si>
    <t>P 2,730.00</t>
  </si>
  <si>
    <t>KM-L-0007</t>
  </si>
  <si>
    <t>OM88967346</t>
  </si>
  <si>
    <t>KB-10007</t>
  </si>
  <si>
    <t>2026-10-05 09:31</t>
  </si>
  <si>
    <t>Neo</t>
  </si>
  <si>
    <t>Mokgethi</t>
  </si>
  <si>
    <t>0026772339424</t>
  </si>
  <si>
    <t>+267 71 555 204</t>
  </si>
  <si>
    <t>P MOGAPI</t>
  </si>
  <si>
    <t>4821</t>
  </si>
  <si>
    <t>P 337.50</t>
  </si>
  <si>
    <t>Tshiamo N.</t>
  </si>
  <si>
    <t>EFT37908131</t>
  </si>
  <si>
    <t>05/10/2026</t>
  </si>
  <si>
    <t>Line busy</t>
  </si>
  <si>
    <t>Sechele K</t>
  </si>
  <si>
    <t>MZ14618971</t>
  </si>
  <si>
    <t>KM-L-0035</t>
  </si>
  <si>
    <t>2026-10-05 14:27</t>
  </si>
  <si>
    <t>Tlotlo Dikgang</t>
  </si>
  <si>
    <t>0026775404796</t>
  </si>
  <si>
    <t>KAGISO M</t>
  </si>
  <si>
    <t>km-l-0095</t>
  </si>
  <si>
    <t>P 1,740.00</t>
  </si>
  <si>
    <t>OM70019622</t>
  </si>
  <si>
    <t>2026-10-05 16:13</t>
  </si>
  <si>
    <t>76995064</t>
  </si>
  <si>
    <t>KM-L-0067</t>
  </si>
  <si>
    <t>PAKO GABAAKE</t>
  </si>
  <si>
    <t>Mmaserame Lekoko</t>
  </si>
  <si>
    <t>KM-L-0008</t>
  </si>
  <si>
    <t>KB-10008</t>
  </si>
  <si>
    <t>Phenyo</t>
  </si>
  <si>
    <t>Mogapi</t>
  </si>
  <si>
    <t>2026-10-05 16:17</t>
  </si>
  <si>
    <t>+267 72 339 424</t>
  </si>
  <si>
    <t>Spoke to customer, promised to pay</t>
  </si>
  <si>
    <t>8049</t>
  </si>
  <si>
    <t>Tshiamo Ntsima</t>
  </si>
  <si>
    <t>OM27433184</t>
  </si>
  <si>
    <t>KM-L-0101</t>
  </si>
  <si>
    <t>2026-10-05 16:41</t>
  </si>
  <si>
    <t>Keabetswe Letsholo</t>
  </si>
  <si>
    <t>72318846</t>
  </si>
  <si>
    <t>TEBOGO K</t>
  </si>
  <si>
    <t>Phone off</t>
  </si>
  <si>
    <t>MZ47889303</t>
  </si>
  <si>
    <t>2026-10-05 20:36</t>
  </si>
  <si>
    <t>+267 74 325 850</t>
  </si>
  <si>
    <t>KM-L-0025</t>
  </si>
  <si>
    <t>Morake K</t>
  </si>
  <si>
    <t>Kabelo Rakgomo</t>
  </si>
  <si>
    <t>KML 0148</t>
  </si>
  <si>
    <t>2,137.50</t>
  </si>
  <si>
    <t>Customer disputes penalty</t>
  </si>
  <si>
    <t>KM-L-0034</t>
  </si>
  <si>
    <t>KM-L-0009</t>
  </si>
  <si>
    <t>KB-10009</t>
  </si>
  <si>
    <t>Mmaserame</t>
  </si>
  <si>
    <t>Kgathi</t>
  </si>
  <si>
    <t>+267 74 094 117</t>
  </si>
  <si>
    <t>9627</t>
  </si>
  <si>
    <t>Tsholofelo Tau</t>
  </si>
  <si>
    <t>Customer asked for statement</t>
  </si>
  <si>
    <t>KM-L-0076</t>
  </si>
  <si>
    <t>Obakeng Gaetsewe</t>
  </si>
  <si>
    <t>KM-L-0010</t>
  </si>
  <si>
    <t>KB-10010</t>
  </si>
  <si>
    <t>Bakang</t>
  </si>
  <si>
    <t>Kelaotswe</t>
  </si>
  <si>
    <t>+267 74 014 458</t>
  </si>
  <si>
    <t>8102</t>
  </si>
  <si>
    <t>KM-L-0011</t>
  </si>
  <si>
    <t>KB-10011</t>
  </si>
  <si>
    <t>Sethunya</t>
  </si>
  <si>
    <t>Letsholo</t>
  </si>
  <si>
    <t>+267 71 579 600</t>
  </si>
  <si>
    <t>7063</t>
  </si>
  <si>
    <t>KM-L-0082</t>
  </si>
  <si>
    <t>Neo Baitshepi</t>
  </si>
  <si>
    <t>KM-L-0049</t>
  </si>
  <si>
    <t>Mompati Oagile</t>
  </si>
  <si>
    <t>KM-L-0083</t>
  </si>
  <si>
    <t>Onalenna Dikgang</t>
  </si>
  <si>
    <t>KM-L-0012</t>
  </si>
  <si>
    <t>KB-10012</t>
  </si>
  <si>
    <t>Kagiso</t>
  </si>
  <si>
    <t>26777720011</t>
  </si>
  <si>
    <t>1109</t>
  </si>
  <si>
    <t>Mogoditshane</t>
  </si>
  <si>
    <t>KM-L-0039</t>
  </si>
  <si>
    <t>Lorato Keakile</t>
  </si>
  <si>
    <t>Katlego Sechele</t>
  </si>
  <si>
    <t>No answer</t>
  </si>
  <si>
    <t>KM-L-0070</t>
  </si>
  <si>
    <t>Pako Nthebolang</t>
  </si>
  <si>
    <t>KM-L-0013</t>
  </si>
  <si>
    <t>KB-10013</t>
  </si>
  <si>
    <t>Wame</t>
  </si>
  <si>
    <t>Matlhare</t>
  </si>
  <si>
    <t>KM-L-0087</t>
  </si>
  <si>
    <t>+267 72 657 342</t>
  </si>
  <si>
    <t>8732</t>
  </si>
  <si>
    <t>Onalenna Sebego</t>
  </si>
  <si>
    <t>PTP end of month</t>
  </si>
  <si>
    <t>KM-L-0014</t>
  </si>
  <si>
    <t>KB-10014</t>
  </si>
  <si>
    <t>Olorato</t>
  </si>
  <si>
    <t>KM-L-0149</t>
  </si>
  <si>
    <t>+267 73 409 780</t>
  </si>
  <si>
    <t>Tshepo Matlhare</t>
  </si>
  <si>
    <t>0510</t>
  </si>
  <si>
    <t>KM-L-0148</t>
  </si>
  <si>
    <t>Keabetswe Morake</t>
  </si>
  <si>
    <t>KM-L-0015</t>
  </si>
  <si>
    <t>KB-10015</t>
  </si>
  <si>
    <t>+267 74 993 327</t>
  </si>
  <si>
    <t>4027</t>
  </si>
  <si>
    <t>Mmoloki</t>
  </si>
  <si>
    <t>KM-L-0106</t>
  </si>
  <si>
    <t>Keitumetse Modise</t>
  </si>
  <si>
    <t>KM-L-0108</t>
  </si>
  <si>
    <t>Mompati Segokgo</t>
  </si>
  <si>
    <t>KB-10016</t>
  </si>
  <si>
    <t>Keabetswe</t>
  </si>
  <si>
    <t>Nkwe</t>
  </si>
  <si>
    <t>+267 71 216 301</t>
  </si>
  <si>
    <t>3829</t>
  </si>
  <si>
    <t>KM-L-0138</t>
  </si>
  <si>
    <t>Mpho Nthebolang</t>
  </si>
  <si>
    <t>KM-L-0062</t>
  </si>
  <si>
    <t>Tumelo Seleka</t>
  </si>
  <si>
    <t>KM-L-0080</t>
  </si>
  <si>
    <t>Kabelo Mogapi</t>
  </si>
  <si>
    <t>KM-L-0017</t>
  </si>
  <si>
    <t>KB-10017</t>
  </si>
  <si>
    <t>Tlotlo</t>
  </si>
  <si>
    <t>Spoke to customer, promised to pay 4/10</t>
  </si>
  <si>
    <t>Molefe</t>
  </si>
  <si>
    <t>+267 71 121 574</t>
  </si>
  <si>
    <t>6168</t>
  </si>
  <si>
    <t>KM-L-0126</t>
  </si>
  <si>
    <t>Kabelo Kelaotswe</t>
  </si>
  <si>
    <t>KM-L-0096</t>
  </si>
  <si>
    <t>Phenyo Maruping</t>
  </si>
  <si>
    <t>KM-L-0041</t>
  </si>
  <si>
    <t>Refilwe Rakgomo</t>
  </si>
  <si>
    <t>KM-L-0018</t>
  </si>
  <si>
    <t>KB-10018</t>
  </si>
  <si>
    <t>Tsholofelo</t>
  </si>
  <si>
    <t>Morake</t>
  </si>
  <si>
    <t>76914049</t>
  </si>
  <si>
    <t>7106</t>
  </si>
  <si>
    <t>KM-L-0086</t>
  </si>
  <si>
    <t>Amantle Nthebolang</t>
  </si>
  <si>
    <t>KM-L-0094</t>
  </si>
  <si>
    <t>Goitseone Mooketsi</t>
  </si>
  <si>
    <t>KM-L-0019</t>
  </si>
  <si>
    <t>Tumelo Rakgomo</t>
  </si>
  <si>
    <t>KB-10019</t>
  </si>
  <si>
    <t>Kebonang</t>
  </si>
  <si>
    <t>+267 72 318 846</t>
  </si>
  <si>
    <t>3307</t>
  </si>
  <si>
    <t>Wrong number??</t>
  </si>
  <si>
    <t>Phenyo Mogapi</t>
  </si>
  <si>
    <t>PTP 7/10</t>
  </si>
  <si>
    <t>KM-L-0020</t>
  </si>
  <si>
    <t>KB-10020</t>
  </si>
  <si>
    <t>Tau</t>
  </si>
  <si>
    <t>+267 72 701 549</t>
  </si>
  <si>
    <t>6782</t>
  </si>
  <si>
    <t>says she paid by EFT?? not showing</t>
  </si>
  <si>
    <t>Restructured</t>
  </si>
  <si>
    <t>Yes</t>
  </si>
  <si>
    <t>PTP 6/10</t>
  </si>
  <si>
    <t>KM-L-0021</t>
  </si>
  <si>
    <t>KB-10021</t>
  </si>
  <si>
    <t>Lesego</t>
  </si>
  <si>
    <t>Oagile</t>
  </si>
  <si>
    <t>+267 77 899 294</t>
  </si>
  <si>
    <t>8162</t>
  </si>
  <si>
    <t>KM-L-0055</t>
  </si>
  <si>
    <t>Tsholofelo Sechele</t>
  </si>
  <si>
    <t>Tebogo Kebonang</t>
  </si>
  <si>
    <t>KM-L-0022</t>
  </si>
  <si>
    <t>KB-10022</t>
  </si>
  <si>
    <t>Dikgang</t>
  </si>
  <si>
    <t>26772002324</t>
  </si>
  <si>
    <t>7351</t>
  </si>
  <si>
    <t>Amantle Modise</t>
  </si>
  <si>
    <t>KM-L-0033</t>
  </si>
  <si>
    <t>Resego Baitshepi</t>
  </si>
  <si>
    <t>PTP</t>
  </si>
  <si>
    <t>KM-L-0023</t>
  </si>
  <si>
    <t>KB-10023</t>
  </si>
  <si>
    <t>Setlhare</t>
  </si>
  <si>
    <t>+267 74 747 895</t>
  </si>
  <si>
    <t>1246</t>
  </si>
  <si>
    <t>Customer insists paid, getting upset</t>
  </si>
  <si>
    <t>customer says will pay on the 5th</t>
  </si>
  <si>
    <t>KM-L-0024</t>
  </si>
  <si>
    <t>KB-10024</t>
  </si>
  <si>
    <t>Kealeboga</t>
  </si>
  <si>
    <t>Ntshole</t>
  </si>
  <si>
    <t>+267 73 768 749</t>
  </si>
  <si>
    <t>8849</t>
  </si>
  <si>
    <t>KB-10025</t>
  </si>
  <si>
    <t>Kabelo</t>
  </si>
  <si>
    <t>+267 73 978 686</t>
  </si>
  <si>
    <t>1263</t>
  </si>
  <si>
    <t>KM-L-0026</t>
  </si>
  <si>
    <t>KB-10026</t>
  </si>
  <si>
    <t>Ontiretse</t>
  </si>
  <si>
    <t>Lekoko</t>
  </si>
  <si>
    <t>+267 75 568 403</t>
  </si>
  <si>
    <t>6317</t>
  </si>
  <si>
    <t>KM-L-0027</t>
  </si>
  <si>
    <t>KB-10027</t>
  </si>
  <si>
    <t>Tshepo</t>
  </si>
  <si>
    <t>+267 74 287 321</t>
  </si>
  <si>
    <t>2264</t>
  </si>
  <si>
    <t>KM-L-0028</t>
  </si>
  <si>
    <t>KB-10028</t>
  </si>
  <si>
    <t>Dintwe</t>
  </si>
  <si>
    <t>+267 74 902 115</t>
  </si>
  <si>
    <t>6152</t>
  </si>
  <si>
    <t>KM-L-0029</t>
  </si>
  <si>
    <t>KB-10029</t>
  </si>
  <si>
    <t>Onalenna</t>
  </si>
  <si>
    <t>+267 71 338 031</t>
  </si>
  <si>
    <t>2284</t>
  </si>
  <si>
    <t>KM-L-0030</t>
  </si>
  <si>
    <t>KB-10030</t>
  </si>
  <si>
    <t>Seleka</t>
  </si>
  <si>
    <t>+267 71 618 037</t>
  </si>
  <si>
    <t>2360</t>
  </si>
  <si>
    <t>KM-L-0031</t>
  </si>
  <si>
    <t>KB-10031</t>
  </si>
  <si>
    <t>Seabelo</t>
  </si>
  <si>
    <t>+267 71 799 057</t>
  </si>
  <si>
    <t>6306</t>
  </si>
  <si>
    <t>KB-10032</t>
  </si>
  <si>
    <t>Naledi</t>
  </si>
  <si>
    <t>Sechele</t>
  </si>
  <si>
    <t>+267 71 240 562</t>
  </si>
  <si>
    <t>2536</t>
  </si>
  <si>
    <t>KB-10033</t>
  </si>
  <si>
    <t>Resego</t>
  </si>
  <si>
    <t>Baitshepi</t>
  </si>
  <si>
    <t>26776979980</t>
  </si>
  <si>
    <t>2584</t>
  </si>
  <si>
    <t>KB-10034</t>
  </si>
  <si>
    <t>+267 75 547 936</t>
  </si>
  <si>
    <t>8744</t>
  </si>
  <si>
    <t>KB-10035</t>
  </si>
  <si>
    <t>+267 75 474 283</t>
  </si>
  <si>
    <t>0879</t>
  </si>
  <si>
    <t>KM-L-0036</t>
  </si>
  <si>
    <t>KB-10036</t>
  </si>
  <si>
    <t>Pule</t>
  </si>
  <si>
    <t>+267 76 120 938</t>
  </si>
  <si>
    <t>2290</t>
  </si>
  <si>
    <t>KM-L-0037</t>
  </si>
  <si>
    <t>KB-10037</t>
  </si>
  <si>
    <t>Nthebolang</t>
  </si>
  <si>
    <t>26774620969</t>
  </si>
  <si>
    <t>6812</t>
  </si>
  <si>
    <t>KM-L-0038</t>
  </si>
  <si>
    <t>KB-10038</t>
  </si>
  <si>
    <t>Itumeleng</t>
  </si>
  <si>
    <t>+267 74 419 523</t>
  </si>
  <si>
    <t>6322</t>
  </si>
  <si>
    <t>KB-10039</t>
  </si>
  <si>
    <t>Katlego</t>
  </si>
  <si>
    <t>26776182292</t>
  </si>
  <si>
    <t>8240</t>
  </si>
  <si>
    <t>KM-L-0040</t>
  </si>
  <si>
    <t>KB-10040</t>
  </si>
  <si>
    <t>26777751095</t>
  </si>
  <si>
    <t>2846</t>
  </si>
  <si>
    <t>KB-10041</t>
  </si>
  <si>
    <t>+267 74 159 405</t>
  </si>
  <si>
    <t>6698</t>
  </si>
  <si>
    <t>KB-10042</t>
  </si>
  <si>
    <t>26771844207</t>
  </si>
  <si>
    <t>5518</t>
  </si>
  <si>
    <t>KB-10043</t>
  </si>
  <si>
    <t>Keitumetse</t>
  </si>
  <si>
    <t>Segokgo</t>
  </si>
  <si>
    <t>72862120</t>
  </si>
  <si>
    <t>3312</t>
  </si>
  <si>
    <t>KB-10044</t>
  </si>
  <si>
    <t>+267 71 736 523</t>
  </si>
  <si>
    <t>8933</t>
  </si>
  <si>
    <t>KB-10045</t>
  </si>
  <si>
    <t>26777562141</t>
  </si>
  <si>
    <t>1899</t>
  </si>
  <si>
    <t>KB-10046</t>
  </si>
  <si>
    <t>+267 71 819 801</t>
  </si>
  <si>
    <t>0832</t>
  </si>
  <si>
    <t>KM-L-0047</t>
  </si>
  <si>
    <t>KB-10047</t>
  </si>
  <si>
    <t>+267 77 010 675</t>
  </si>
  <si>
    <t>7684</t>
  </si>
  <si>
    <t>KM-L-0048</t>
  </si>
  <si>
    <t>KB-10048</t>
  </si>
  <si>
    <t>26777111456</t>
  </si>
  <si>
    <t>8879</t>
  </si>
  <si>
    <t>KB-10049</t>
  </si>
  <si>
    <t>Mompati</t>
  </si>
  <si>
    <t>26773879827</t>
  </si>
  <si>
    <t>4453</t>
  </si>
  <si>
    <t>KM-L-0050</t>
  </si>
  <si>
    <t>KB-10050</t>
  </si>
  <si>
    <t>+267 75 050 999</t>
  </si>
  <si>
    <t>8373</t>
  </si>
  <si>
    <t>KM-L-0051</t>
  </si>
  <si>
    <t>KB-10051</t>
  </si>
  <si>
    <t>+267 72 290 547</t>
  </si>
  <si>
    <t>9724</t>
  </si>
  <si>
    <t>KM-L-0052</t>
  </si>
  <si>
    <t>KB-10052</t>
  </si>
  <si>
    <t>+267 72 066 059</t>
  </si>
  <si>
    <t>6567</t>
  </si>
  <si>
    <t>KM-L-0053</t>
  </si>
  <si>
    <t>KB-10053</t>
  </si>
  <si>
    <t>Ramotswa</t>
  </si>
  <si>
    <t>+267 75 331 460</t>
  </si>
  <si>
    <t>8804</t>
  </si>
  <si>
    <t>KM-L-0054</t>
  </si>
  <si>
    <t>KB-10054</t>
  </si>
  <si>
    <t>71914611</t>
  </si>
  <si>
    <t>6717</t>
  </si>
  <si>
    <t>KB-10055</t>
  </si>
  <si>
    <t>26775197769</t>
  </si>
  <si>
    <t>4086</t>
  </si>
  <si>
    <t>KM-L-0056</t>
  </si>
  <si>
    <t>KB-10056</t>
  </si>
  <si>
    <t>Goitseone</t>
  </si>
  <si>
    <t>Rapoo</t>
  </si>
  <si>
    <t>+267 76 895 240</t>
  </si>
  <si>
    <t>6412</t>
  </si>
  <si>
    <t>KM-L-0057</t>
  </si>
  <si>
    <t>KB-10057</t>
  </si>
  <si>
    <t>Boipelo</t>
  </si>
  <si>
    <t>+267 74 364 685</t>
  </si>
  <si>
    <t>3752</t>
  </si>
  <si>
    <t>KB-10058</t>
  </si>
  <si>
    <t>Kgomotso</t>
  </si>
  <si>
    <t>+267 74 180 075</t>
  </si>
  <si>
    <t>7990</t>
  </si>
  <si>
    <t>KM-L-0059</t>
  </si>
  <si>
    <t>KB-10059</t>
  </si>
  <si>
    <t>Bontle</t>
  </si>
  <si>
    <t>+267 73 617 236</t>
  </si>
  <si>
    <t>8605</t>
  </si>
  <si>
    <t>KM-L-0060</t>
  </si>
  <si>
    <t>KB-10060</t>
  </si>
  <si>
    <t>Tlhalefang</t>
  </si>
  <si>
    <t>75380750</t>
  </si>
  <si>
    <t>7534</t>
  </si>
  <si>
    <t>KB-10061</t>
  </si>
  <si>
    <t>+267 75 814 939</t>
  </si>
  <si>
    <t>4283</t>
  </si>
  <si>
    <t>KB-10062</t>
  </si>
  <si>
    <t>+267 72 682 137</t>
  </si>
  <si>
    <t>6921</t>
  </si>
  <si>
    <t>KM-L-0063</t>
  </si>
  <si>
    <t>KB-10063</t>
  </si>
  <si>
    <t>Mosweu</t>
  </si>
  <si>
    <t>+267 74 914 858</t>
  </si>
  <si>
    <t>5234</t>
  </si>
  <si>
    <t>KM-L-0064</t>
  </si>
  <si>
    <t>KB-10064</t>
  </si>
  <si>
    <t>Motsumi</t>
  </si>
  <si>
    <t>+267 73 670 412</t>
  </si>
  <si>
    <t>1945</t>
  </si>
  <si>
    <t>KB-10065</t>
  </si>
  <si>
    <t>72087135</t>
  </si>
  <si>
    <t>5125</t>
  </si>
  <si>
    <t>KB-10066</t>
  </si>
  <si>
    <t>+267 71 054 061</t>
  </si>
  <si>
    <t>6060</t>
  </si>
  <si>
    <t>KB-10067</t>
  </si>
  <si>
    <t>+267 71 139 652</t>
  </si>
  <si>
    <t>5175</t>
  </si>
  <si>
    <t>KM-L-0068</t>
  </si>
  <si>
    <t>KB-10068</t>
  </si>
  <si>
    <t>+267 77 355 080</t>
  </si>
  <si>
    <t>8176</t>
  </si>
  <si>
    <t>KB-10069</t>
  </si>
  <si>
    <t>26777217151</t>
  </si>
  <si>
    <t>3955</t>
  </si>
  <si>
    <t>KB-10070</t>
  </si>
  <si>
    <t>Pako</t>
  </si>
  <si>
    <t>+267 73 159 650</t>
  </si>
  <si>
    <t>4659</t>
  </si>
  <si>
    <t>KM-L-0071</t>
  </si>
  <si>
    <t>KB-10071</t>
  </si>
  <si>
    <t>+267 72 609 997</t>
  </si>
  <si>
    <t>7610</t>
  </si>
  <si>
    <t>KM-L-0072</t>
  </si>
  <si>
    <t>KB-10072</t>
  </si>
  <si>
    <t>+267 71 001 854</t>
  </si>
  <si>
    <t>7388</t>
  </si>
  <si>
    <t>KM-L-0073</t>
  </si>
  <si>
    <t>KB-10073</t>
  </si>
  <si>
    <t>Dineo</t>
  </si>
  <si>
    <t>+267 76 472 510</t>
  </si>
  <si>
    <t>0706</t>
  </si>
  <si>
    <t>KM-L-0074</t>
  </si>
  <si>
    <t>KB-10074</t>
  </si>
  <si>
    <t>Koosimile</t>
  </si>
  <si>
    <t>+267 77 316 153</t>
  </si>
  <si>
    <t>2798</t>
  </si>
  <si>
    <t>KM-L-0075</t>
  </si>
  <si>
    <t>KB-10075</t>
  </si>
  <si>
    <t>71708291</t>
  </si>
  <si>
    <t>2926</t>
  </si>
  <si>
    <t>KB-10076</t>
  </si>
  <si>
    <t>Gaetsewe</t>
  </si>
  <si>
    <t>+267 73 529 147</t>
  </si>
  <si>
    <t>4084</t>
  </si>
  <si>
    <t>KM-L-0077</t>
  </si>
  <si>
    <t>KB-10077</t>
  </si>
  <si>
    <t>+267 74 629 846</t>
  </si>
  <si>
    <t>2720</t>
  </si>
  <si>
    <t>KM-L-0078</t>
  </si>
  <si>
    <t>KB-10078</t>
  </si>
  <si>
    <t>Masego</t>
  </si>
  <si>
    <t>Phiri</t>
  </si>
  <si>
    <t>+267 72 465 019</t>
  </si>
  <si>
    <t>7036</t>
  </si>
  <si>
    <t>KM-L-0079</t>
  </si>
  <si>
    <t>KB-10079</t>
  </si>
  <si>
    <t>+267 75 636 741</t>
  </si>
  <si>
    <t>4351</t>
  </si>
  <si>
    <t>KM-L-0081</t>
  </si>
  <si>
    <t>KB-10080</t>
  </si>
  <si>
    <t>+267 77 418 322</t>
  </si>
  <si>
    <t>0814</t>
  </si>
  <si>
    <t>KB-10081</t>
  </si>
  <si>
    <t>2915</t>
  </si>
  <si>
    <t>KB-10082</t>
  </si>
  <si>
    <t>+267 74 743 388</t>
  </si>
  <si>
    <t>4252</t>
  </si>
  <si>
    <t>KM-L-0084</t>
  </si>
  <si>
    <t>KB-10083</t>
  </si>
  <si>
    <t>+267 72 279 384</t>
  </si>
  <si>
    <t>2575</t>
  </si>
  <si>
    <t>KB-10084</t>
  </si>
  <si>
    <t>+267 76 669 690</t>
  </si>
  <si>
    <t>8353</t>
  </si>
  <si>
    <t>KB-10085</t>
  </si>
  <si>
    <t>+267 73 570 861</t>
  </si>
  <si>
    <t>6043</t>
  </si>
  <si>
    <t>KB-10086</t>
  </si>
  <si>
    <t>Sebego</t>
  </si>
  <si>
    <t>77208351</t>
  </si>
  <si>
    <t>4460</t>
  </si>
  <si>
    <t>KM-L-0088</t>
  </si>
  <si>
    <t>KB-10087</t>
  </si>
  <si>
    <t>+267 72 805 229</t>
  </si>
  <si>
    <t>2373</t>
  </si>
  <si>
    <t>KM-L-0089</t>
  </si>
  <si>
    <t>KB-10088</t>
  </si>
  <si>
    <t>Mooketsi</t>
  </si>
  <si>
    <t>+267 76 119 224</t>
  </si>
  <si>
    <t>5164</t>
  </si>
  <si>
    <t>KM-L-0090</t>
  </si>
  <si>
    <t>KB-10089</t>
  </si>
  <si>
    <t>Oratile</t>
  </si>
  <si>
    <t>+267 77 038 374</t>
  </si>
  <si>
    <t>6296</t>
  </si>
  <si>
    <t>KM-L-0091</t>
  </si>
  <si>
    <t>KB-10090</t>
  </si>
  <si>
    <t>Kitso</t>
  </si>
  <si>
    <t>+267 74 548 927</t>
  </si>
  <si>
    <t>3487</t>
  </si>
  <si>
    <t>KB-10091</t>
  </si>
  <si>
    <t>+267 75 601 239</t>
  </si>
  <si>
    <t>5117</t>
  </si>
  <si>
    <t>KM-L-0093</t>
  </si>
  <si>
    <t>KB-10092</t>
  </si>
  <si>
    <t>Motheo</t>
  </si>
  <si>
    <t>26774119154</t>
  </si>
  <si>
    <t>7927</t>
  </si>
  <si>
    <t>KB-10093</t>
  </si>
  <si>
    <t>+267 77 267 611</t>
  </si>
  <si>
    <t>1947</t>
  </si>
  <si>
    <t>KM-L-0095</t>
  </si>
  <si>
    <t>KB-10094</t>
  </si>
  <si>
    <t>+267 75 404 796</t>
  </si>
  <si>
    <t>2180</t>
  </si>
  <si>
    <t>KB-10095</t>
  </si>
  <si>
    <t>Maruping</t>
  </si>
  <si>
    <t>26773366223</t>
  </si>
  <si>
    <t>1483</t>
  </si>
  <si>
    <t>KB-10096</t>
  </si>
  <si>
    <t>+267 77 550 313</t>
  </si>
  <si>
    <t>5560</t>
  </si>
  <si>
    <t>KM-L-0098</t>
  </si>
  <si>
    <t>KB-10097</t>
  </si>
  <si>
    <t>26776226622</t>
  </si>
  <si>
    <t>1417</t>
  </si>
  <si>
    <t>KM-L-0099</t>
  </si>
  <si>
    <t>KB-10098</t>
  </si>
  <si>
    <t>+267 71 873 526</t>
  </si>
  <si>
    <t>2028</t>
  </si>
  <si>
    <t>KM-L-0100</t>
  </si>
  <si>
    <t>KB-10099</t>
  </si>
  <si>
    <t>+267 71 381 515</t>
  </si>
  <si>
    <t>3885</t>
  </si>
  <si>
    <t>KB-10100</t>
  </si>
  <si>
    <t>+267 76 559 402</t>
  </si>
  <si>
    <t>2167</t>
  </si>
  <si>
    <t>KM-L-0102</t>
  </si>
  <si>
    <t>KB-10101</t>
  </si>
  <si>
    <t>+267 73 660 860</t>
  </si>
  <si>
    <t>0409</t>
  </si>
  <si>
    <t>KM-L-0103</t>
  </si>
  <si>
    <t>KB-10102</t>
  </si>
  <si>
    <t>+267 73 997 054</t>
  </si>
  <si>
    <t>0389</t>
  </si>
  <si>
    <t>KM-L-0104</t>
  </si>
  <si>
    <t>KB-10103</t>
  </si>
  <si>
    <t>+267 77 557 692</t>
  </si>
  <si>
    <t>6353</t>
  </si>
  <si>
    <t>KM-L-0105</t>
  </si>
  <si>
    <t>KB-10104</t>
  </si>
  <si>
    <t>Gaone</t>
  </si>
  <si>
    <t>+267 74 312 794</t>
  </si>
  <si>
    <t>5671</t>
  </si>
  <si>
    <t>KB-10105</t>
  </si>
  <si>
    <t>74323984</t>
  </si>
  <si>
    <t>1068</t>
  </si>
  <si>
    <t>KM-L-0107</t>
  </si>
  <si>
    <t>KB-10106</t>
  </si>
  <si>
    <t>Omphile</t>
  </si>
  <si>
    <t>+267 74 132 777</t>
  </si>
  <si>
    <t>4669</t>
  </si>
  <si>
    <t>KB-10107</t>
  </si>
  <si>
    <t>+267 76 848 293</t>
  </si>
  <si>
    <t>5278</t>
  </si>
  <si>
    <t>KM-L-0109</t>
  </si>
  <si>
    <t>KB-10108</t>
  </si>
  <si>
    <t>26772214033</t>
  </si>
  <si>
    <t>5247</t>
  </si>
  <si>
    <t>KM-L-0110</t>
  </si>
  <si>
    <t>KB-10109</t>
  </si>
  <si>
    <t>+267 72 173 040</t>
  </si>
  <si>
    <t>5534</t>
  </si>
  <si>
    <t>KM-L-0111</t>
  </si>
  <si>
    <t>KB-10110</t>
  </si>
  <si>
    <t>+267 73 070 237</t>
  </si>
  <si>
    <t>0611</t>
  </si>
  <si>
    <t>KM-L-0112</t>
  </si>
  <si>
    <t>KB-10111</t>
  </si>
  <si>
    <t>Mbaakanyi</t>
  </si>
  <si>
    <t>+267 75 847 116</t>
  </si>
  <si>
    <t>4165</t>
  </si>
  <si>
    <t>KM-L-0113</t>
  </si>
  <si>
    <t>KB-10112</t>
  </si>
  <si>
    <t>+267 75 311 609</t>
  </si>
  <si>
    <t>9704</t>
  </si>
  <si>
    <t>KM-L-0114</t>
  </si>
  <si>
    <t>KB-10113</t>
  </si>
  <si>
    <t>+267 71 271 577</t>
  </si>
  <si>
    <t>8030</t>
  </si>
  <si>
    <t>KM-L-0115</t>
  </si>
  <si>
    <t>KB-10114</t>
  </si>
  <si>
    <t>+267 76 436 188</t>
  </si>
  <si>
    <t>1411</t>
  </si>
  <si>
    <t>KM-L-0116</t>
  </si>
  <si>
    <t>KB-10115</t>
  </si>
  <si>
    <t>Mpho</t>
  </si>
  <si>
    <t>26775683077</t>
  </si>
  <si>
    <t>2616</t>
  </si>
  <si>
    <t>KM-L-0117</t>
  </si>
  <si>
    <t>KB-10116</t>
  </si>
  <si>
    <t>+267 75 765 856</t>
  </si>
  <si>
    <t>0886</t>
  </si>
  <si>
    <t>KM-L-0118</t>
  </si>
  <si>
    <t>KB-10117</t>
  </si>
  <si>
    <t>+267 71 634 434</t>
  </si>
  <si>
    <t>0868</t>
  </si>
  <si>
    <t>KM-L-0119</t>
  </si>
  <si>
    <t>KB-10118</t>
  </si>
  <si>
    <t>26777403137</t>
  </si>
  <si>
    <t>7234</t>
  </si>
  <si>
    <t>KM-L-0120</t>
  </si>
  <si>
    <t>KB-10119</t>
  </si>
  <si>
    <t>Mothusi</t>
  </si>
  <si>
    <t>+267 76 700 605</t>
  </si>
  <si>
    <t>KM-L-0121</t>
  </si>
  <si>
    <t>KB-10120</t>
  </si>
  <si>
    <t>+267 73 730 551</t>
  </si>
  <si>
    <t>6409</t>
  </si>
  <si>
    <t>KM-L-0122</t>
  </si>
  <si>
    <t>KB-10121</t>
  </si>
  <si>
    <t>26774602337</t>
  </si>
  <si>
    <t>0077</t>
  </si>
  <si>
    <t>KM-L-0123</t>
  </si>
  <si>
    <t>KB-10122</t>
  </si>
  <si>
    <t>26774360807</t>
  </si>
  <si>
    <t>1966</t>
  </si>
  <si>
    <t>KB-10123</t>
  </si>
  <si>
    <t>+267 72 001 266</t>
  </si>
  <si>
    <t>3970</t>
  </si>
  <si>
    <t>KB-10124</t>
  </si>
  <si>
    <t>26775431109</t>
  </si>
  <si>
    <t>3756</t>
  </si>
  <si>
    <t>KB-10125</t>
  </si>
  <si>
    <t>+267 73 614 184</t>
  </si>
  <si>
    <t>8199</t>
  </si>
  <si>
    <t>KB-10126</t>
  </si>
  <si>
    <t>+267 76 495 002</t>
  </si>
  <si>
    <t>6766</t>
  </si>
  <si>
    <t>KM-L-0128</t>
  </si>
  <si>
    <t>KB-10127</t>
  </si>
  <si>
    <t>+267 74 117 451</t>
  </si>
  <si>
    <t>3621</t>
  </si>
  <si>
    <t>KM-L-0129</t>
  </si>
  <si>
    <t>KB-10128</t>
  </si>
  <si>
    <t>+267 77 785 190</t>
  </si>
  <si>
    <t>2683</t>
  </si>
  <si>
    <t>KM-L-0130</t>
  </si>
  <si>
    <t>KB-10129</t>
  </si>
  <si>
    <t>26776440931</t>
  </si>
  <si>
    <t>6711</t>
  </si>
  <si>
    <t>KM-L-0131</t>
  </si>
  <si>
    <t>KB-10130</t>
  </si>
  <si>
    <t>+267 71 369 411</t>
  </si>
  <si>
    <t>2612</t>
  </si>
  <si>
    <t>KM-L-0132</t>
  </si>
  <si>
    <t>KB-10131</t>
  </si>
  <si>
    <t>+267 74 595 178</t>
  </si>
  <si>
    <t>3397</t>
  </si>
  <si>
    <t>KM-L-0133</t>
  </si>
  <si>
    <t>KB-10132</t>
  </si>
  <si>
    <t>26774747061</t>
  </si>
  <si>
    <t>9028</t>
  </si>
  <si>
    <t>KM-L-0134</t>
  </si>
  <si>
    <t>KB-10133</t>
  </si>
  <si>
    <t>Gabaake</t>
  </si>
  <si>
    <t>+267 74 681 077</t>
  </si>
  <si>
    <t>0790</t>
  </si>
  <si>
    <t>KM-L-0135</t>
  </si>
  <si>
    <t>KB-10134</t>
  </si>
  <si>
    <t>+267 77 259 462</t>
  </si>
  <si>
    <t>5333</t>
  </si>
  <si>
    <t>KM-L-0136</t>
  </si>
  <si>
    <t>KB-10135</t>
  </si>
  <si>
    <t>71113567</t>
  </si>
  <si>
    <t>5885</t>
  </si>
  <si>
    <t>KM-L-0137</t>
  </si>
  <si>
    <t>KB-10136</t>
  </si>
  <si>
    <t>+267 72 284 449</t>
  </si>
  <si>
    <t>2632</t>
  </si>
  <si>
    <t>KB-10137</t>
  </si>
  <si>
    <t>+267 76 476 527</t>
  </si>
  <si>
    <t>6277</t>
  </si>
  <si>
    <t>KM-L-0139</t>
  </si>
  <si>
    <t>KB-10138</t>
  </si>
  <si>
    <t>73104501</t>
  </si>
  <si>
    <t>9397</t>
  </si>
  <si>
    <t>KM-L-0140</t>
  </si>
  <si>
    <t>KB-10139</t>
  </si>
  <si>
    <t>Goabaone</t>
  </si>
  <si>
    <t>+267 76 682 449</t>
  </si>
  <si>
    <t>0809</t>
  </si>
  <si>
    <t>KB-10140</t>
  </si>
  <si>
    <t>+267 72 859 218</t>
  </si>
  <si>
    <t>9321</t>
  </si>
  <si>
    <t>KM-L-0142</t>
  </si>
  <si>
    <t>KB-10141</t>
  </si>
  <si>
    <t>26771091985</t>
  </si>
  <si>
    <t>3289</t>
  </si>
  <si>
    <t>KM-L-0143</t>
  </si>
  <si>
    <t>KB-10142</t>
  </si>
  <si>
    <t>+267 76 935 157</t>
  </si>
  <si>
    <t>9282</t>
  </si>
  <si>
    <t>KM-L-0144</t>
  </si>
  <si>
    <t>KB-10143</t>
  </si>
  <si>
    <t>71293629</t>
  </si>
  <si>
    <t>6797</t>
  </si>
  <si>
    <t>KM-L-0145</t>
  </si>
  <si>
    <t>KB-10144</t>
  </si>
  <si>
    <t>+267 73 248 458</t>
  </si>
  <si>
    <t>8287</t>
  </si>
  <si>
    <t>KM-L-0146</t>
  </si>
  <si>
    <t>KB-10145</t>
  </si>
  <si>
    <t>26772897814</t>
  </si>
  <si>
    <t>4269</t>
  </si>
  <si>
    <t>KM-L-0147</t>
  </si>
  <si>
    <t>KB-10146</t>
  </si>
  <si>
    <t>26773764531</t>
  </si>
  <si>
    <t>2892</t>
  </si>
  <si>
    <t>KB-10147</t>
  </si>
  <si>
    <t>8121</t>
  </si>
  <si>
    <t>KB-10148</t>
  </si>
  <si>
    <t>+267 76 292 170</t>
  </si>
  <si>
    <t>7893</t>
  </si>
  <si>
    <t>KM-L-0150</t>
  </si>
  <si>
    <t>KB-10149</t>
  </si>
  <si>
    <t>+267 73 518 012</t>
  </si>
  <si>
    <t>8472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</si>
</sst>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theme="1"/>
      <name val="Calibri"/>
      <scheme val="minor"/>
    </font>
    <font>
      <b/>
      <sz val="14.0"/>
      <color theme="1"/>
      <name val="Arial"/>
    </font>
    <font>
      <b/>
      <sz val="10.0"/>
      <color theme="1"/>
      <name val="Arial"/>
    </font>
    <font>
      <b/>
      <sz val="10.0"/>
      <color rgb="FFC00000"/>
      <name val="Arial"/>
    </font>
    <font>
      <b/>
      <sz val="10.0"/>
      <color rgb="FFFFFFFF"/>
      <name val="Arial"/>
    </font>
    <font>
      <sz val="10.0"/>
      <color theme="1"/>
      <name val="Arial"/>
    </font>
    <font>
      <color rgb="FF188038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DDE3EA"/>
        <bgColor rgb="FFDDE3E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shrinkToFit="0" vertical="center" wrapText="1"/>
    </xf>
    <xf borderId="1" fillId="2" fontId="4" numFmtId="0" xfId="0" applyBorder="1" applyFill="1" applyFont="1"/>
    <xf borderId="0" fillId="0" fontId="2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" fillId="2" fontId="4" numFmtId="0" xfId="0" applyAlignment="1" applyBorder="1" applyFill="1" applyFont="1">
      <alignment shrinkToFit="0" vertical="top" wrapText="1"/>
    </xf>
    <xf borderId="0" fillId="0" fontId="5" numFmtId="0" xfId="0" applyFont="1"/>
    <xf borderId="0" fillId="0" fontId="5" numFmtId="49" xfId="0" applyFont="1" applyNumberFormat="1"/>
    <xf borderId="0" fillId="0" fontId="5" numFmtId="164" xfId="0" applyFont="1" applyNumberFormat="1"/>
    <xf borderId="0" fillId="0" fontId="5" numFmtId="4" xfId="0" applyFont="1" applyNumberFormat="1"/>
    <xf borderId="0" fillId="3" fontId="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00.0"/>
    <col customWidth="1" min="3" max="26" width="8.71"/>
  </cols>
  <sheetData>
    <row r="1">
      <c r="A1" s="1" t="s">
        <v>0</v>
      </c>
    </row>
    <row r="3">
      <c r="A3" s="2" t="s">
        <v>1</v>
      </c>
      <c r="B3" s="3" t="s">
        <v>2</v>
      </c>
    </row>
    <row r="5">
      <c r="A5" s="5" t="s">
        <v>4</v>
      </c>
      <c r="B5" s="5" t="s">
        <v>8</v>
      </c>
    </row>
    <row r="6">
      <c r="A6" s="6" t="s">
        <v>11</v>
      </c>
      <c r="B6" s="7" t="s">
        <v>14</v>
      </c>
    </row>
    <row r="7">
      <c r="A7" s="6" t="s">
        <v>18</v>
      </c>
      <c r="B7" s="7" t="s">
        <v>20</v>
      </c>
    </row>
    <row r="8">
      <c r="A8" s="6" t="s">
        <v>23</v>
      </c>
      <c r="B8" s="7" t="s">
        <v>25</v>
      </c>
    </row>
    <row r="9">
      <c r="A9" s="6"/>
      <c r="B9" s="7"/>
    </row>
    <row r="10">
      <c r="A10" s="8" t="s">
        <v>31</v>
      </c>
      <c r="B10" s="8" t="s">
        <v>33</v>
      </c>
    </row>
    <row r="11">
      <c r="A11" s="6" t="s">
        <v>3</v>
      </c>
      <c r="B11" s="7" t="s">
        <v>35</v>
      </c>
    </row>
    <row r="12">
      <c r="A12" s="6" t="s">
        <v>5</v>
      </c>
      <c r="B12" s="7" t="s">
        <v>37</v>
      </c>
    </row>
    <row r="13">
      <c r="A13" s="6" t="s">
        <v>9</v>
      </c>
      <c r="B13" s="7" t="s">
        <v>41</v>
      </c>
    </row>
    <row r="14">
      <c r="A14" s="6" t="s">
        <v>10</v>
      </c>
      <c r="B14" s="7" t="s">
        <v>43</v>
      </c>
    </row>
    <row r="15">
      <c r="A15" s="6" t="s">
        <v>21</v>
      </c>
      <c r="B15" s="7" t="s">
        <v>46</v>
      </c>
    </row>
    <row r="16">
      <c r="A16" s="6" t="s">
        <v>22</v>
      </c>
      <c r="B16" s="7" t="s">
        <v>48</v>
      </c>
    </row>
    <row r="17">
      <c r="A17" s="6" t="s">
        <v>24</v>
      </c>
      <c r="B17" s="7" t="s">
        <v>49</v>
      </c>
    </row>
    <row r="18">
      <c r="A18" s="6" t="s">
        <v>26</v>
      </c>
      <c r="B18" s="7" t="s">
        <v>50</v>
      </c>
    </row>
    <row r="19">
      <c r="A19" s="6" t="s">
        <v>27</v>
      </c>
      <c r="B19" s="7" t="s">
        <v>51</v>
      </c>
    </row>
    <row r="20">
      <c r="A20" s="6" t="s">
        <v>28</v>
      </c>
      <c r="B20" s="7" t="s">
        <v>52</v>
      </c>
    </row>
    <row r="21" ht="15.75" customHeight="1">
      <c r="A21" s="6" t="s">
        <v>29</v>
      </c>
      <c r="B21" s="7" t="s">
        <v>53</v>
      </c>
    </row>
    <row r="22" ht="15.75" customHeight="1">
      <c r="A22" s="6" t="s">
        <v>32</v>
      </c>
      <c r="B22" s="7" t="s">
        <v>54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0"/>
    <col customWidth="1" min="3" max="3" width="12.0"/>
    <col customWidth="1" min="4" max="4" width="13.0"/>
    <col customWidth="1" min="5" max="5" width="17.0"/>
    <col customWidth="1" min="6" max="6" width="9.0"/>
    <col customWidth="1" min="7" max="7" width="19.0"/>
    <col customWidth="1" min="8" max="8" width="17.0"/>
    <col customWidth="1" min="9" max="9" width="19.0"/>
    <col customWidth="1" min="10" max="11" width="12.0"/>
    <col customWidth="1" min="12" max="12" width="8.0"/>
    <col customWidth="1" min="13" max="13" width="13.0"/>
    <col customWidth="1" min="14" max="14" width="10.0"/>
    <col customWidth="1" min="15" max="16" width="11.0"/>
    <col customWidth="1" min="17" max="18" width="13.0"/>
    <col customWidth="1" min="19" max="19" width="9.0"/>
    <col customWidth="1" min="20" max="20" width="12.0"/>
    <col customWidth="1" min="21" max="21" width="11.0"/>
    <col customWidth="1" min="22" max="26" width="8.71"/>
  </cols>
  <sheetData>
    <row r="1" ht="30.0" customHeight="1">
      <c r="A1" s="4" t="s">
        <v>3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12</v>
      </c>
      <c r="H1" s="4" t="s">
        <v>13</v>
      </c>
      <c r="I1" s="4" t="s">
        <v>15</v>
      </c>
      <c r="J1" s="4" t="s">
        <v>16</v>
      </c>
      <c r="K1" s="4" t="s">
        <v>17</v>
      </c>
      <c r="L1" s="4" t="s">
        <v>19</v>
      </c>
      <c r="M1" s="4" t="s">
        <v>21</v>
      </c>
      <c r="N1" s="4" t="s">
        <v>22</v>
      </c>
      <c r="O1" s="4" t="s">
        <v>24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32</v>
      </c>
    </row>
    <row r="2">
      <c r="A2" s="9" t="s">
        <v>34</v>
      </c>
      <c r="B2" s="9" t="s">
        <v>36</v>
      </c>
      <c r="C2" s="9" t="s">
        <v>38</v>
      </c>
      <c r="D2" s="9" t="s">
        <v>39</v>
      </c>
      <c r="E2" s="9" t="s">
        <v>40</v>
      </c>
      <c r="F2" s="10" t="s">
        <v>42</v>
      </c>
      <c r="G2" s="9" t="s">
        <v>44</v>
      </c>
      <c r="H2" s="9" t="s">
        <v>45</v>
      </c>
      <c r="I2" s="9" t="s">
        <v>47</v>
      </c>
      <c r="J2" s="11">
        <v>46011.0</v>
      </c>
      <c r="K2" s="12">
        <v>23000.0</v>
      </c>
      <c r="L2" s="9">
        <v>15.0</v>
      </c>
      <c r="M2" s="12">
        <v>1993.33</v>
      </c>
      <c r="N2" s="9">
        <v>6.0</v>
      </c>
      <c r="O2" s="12">
        <v>5979.99</v>
      </c>
      <c r="P2" s="12">
        <v>299.0</v>
      </c>
      <c r="Q2" s="12">
        <v>18238.97</v>
      </c>
      <c r="R2" s="11">
        <v>46213.0</v>
      </c>
      <c r="S2" s="9">
        <v>82.0</v>
      </c>
      <c r="T2" s="9" t="s">
        <v>55</v>
      </c>
      <c r="U2" s="9" t="s">
        <v>56</v>
      </c>
      <c r="V2" s="13" t="str">
        <f t="shared" ref="V2:V151" si="1">"INSERT INTO loans (loan_id, borrower_id, first_name, last_name, phone, id_last4, branch, loan_officer, product, disbursed_on, principal_bwp, term_months, monthly_instalment_bwp, instalments_paid, arrears_bwp, penalties_bwp, outstanding_balance_bwp, next_d"&amp;"ue_date, days_overdue, status, payment_holiday_used) VALUES ('"&amp;A2&amp;"', '"&amp;B2&amp;"', '"&amp;C2&amp;"', '"&amp;D2&amp;"', '"&amp;E2&amp;"', '"&amp;F2&amp;"', '"&amp;G2&amp;"', '"&amp;H2&amp;"', '"&amp;I2&amp;"', '"&amp;TEXT(J2, "yyyy-mm-dd")&amp;"', "&amp;K2&amp;", "&amp;L2&amp;", "&amp;M2&amp;", "&amp;N2&amp;", "&amp;O2&amp;", "&amp;P2&amp;", "&amp;Q2&amp;", '"&amp;TEXT(R2, "yyyy-mm-dd")&amp;"', "&amp;S2&amp;", '"&amp;T2&amp;"', '"&amp;U2&amp;"');"</f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('KM-L-0001', 'KB-10001', 'Amantle', 'Modise', '+267 71 084 258', '4216', 'Gaborone Main Mall', 'Mmoloki Sebina', 'Small Business Loan', '2025-12-20', 23000, 15, 1993.33, 6, 5979.99, 299, 18238.97, '2026-07-10', 82, 'In arrears', 'No');</v>
      </c>
    </row>
    <row r="3">
      <c r="A3" s="9" t="s">
        <v>122</v>
      </c>
      <c r="B3" s="9" t="s">
        <v>124</v>
      </c>
      <c r="C3" s="9" t="s">
        <v>128</v>
      </c>
      <c r="D3" s="9" t="s">
        <v>132</v>
      </c>
      <c r="E3" s="9" t="s">
        <v>133</v>
      </c>
      <c r="F3" s="10" t="s">
        <v>134</v>
      </c>
      <c r="G3" s="9" t="s">
        <v>135</v>
      </c>
      <c r="H3" s="9" t="s">
        <v>137</v>
      </c>
      <c r="I3" s="9" t="s">
        <v>139</v>
      </c>
      <c r="J3" s="11">
        <v>46267.0</v>
      </c>
      <c r="K3" s="12">
        <v>1000.0</v>
      </c>
      <c r="L3" s="9">
        <v>6.0</v>
      </c>
      <c r="M3" s="12">
        <v>191.67</v>
      </c>
      <c r="N3" s="9">
        <v>0.0</v>
      </c>
      <c r="O3" s="12">
        <v>191.67</v>
      </c>
      <c r="P3" s="12">
        <v>0.0</v>
      </c>
      <c r="Q3" s="12">
        <v>1150.02</v>
      </c>
      <c r="R3" s="11">
        <v>46290.0</v>
      </c>
      <c r="S3" s="9">
        <v>5.0</v>
      </c>
      <c r="T3" s="9" t="s">
        <v>55</v>
      </c>
      <c r="U3" s="9" t="s">
        <v>56</v>
      </c>
      <c r="V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('KM-L-0002', 'KB-10002', 'Tumelo', 'Rakgomo', '+267 71 699 280', '1598', 'Francistown', 'Olebile Moatlhodi', 'Salary Advance', '2026-09-02', 1000, 6, 191.67, 0, 191.67, 0, 1150.02, '2026-09-25', 5, 'In arrears', 'No');</v>
      </c>
    </row>
    <row r="4">
      <c r="A4" s="9" t="s">
        <v>165</v>
      </c>
      <c r="B4" s="9" t="s">
        <v>168</v>
      </c>
      <c r="C4" s="9" t="s">
        <v>170</v>
      </c>
      <c r="D4" s="9" t="s">
        <v>173</v>
      </c>
      <c r="E4" s="9" t="s">
        <v>174</v>
      </c>
      <c r="F4" s="10" t="s">
        <v>175</v>
      </c>
      <c r="G4" s="9" t="s">
        <v>135</v>
      </c>
      <c r="H4" s="9" t="s">
        <v>137</v>
      </c>
      <c r="I4" s="9" t="s">
        <v>139</v>
      </c>
      <c r="J4" s="11">
        <v>46179.0</v>
      </c>
      <c r="K4" s="12">
        <v>4500.0</v>
      </c>
      <c r="L4" s="9">
        <v>7.0</v>
      </c>
      <c r="M4" s="12">
        <v>755.36</v>
      </c>
      <c r="N4" s="9">
        <v>4.0</v>
      </c>
      <c r="O4" s="12">
        <v>0.0</v>
      </c>
      <c r="P4" s="12">
        <v>0.0</v>
      </c>
      <c r="Q4" s="12">
        <v>2266.08</v>
      </c>
      <c r="R4" s="11">
        <v>46320.0</v>
      </c>
      <c r="S4" s="9">
        <v>0.0</v>
      </c>
      <c r="T4" s="9" t="s">
        <v>188</v>
      </c>
      <c r="U4" s="9" t="s">
        <v>56</v>
      </c>
      <c r="V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('KM-L-0003', 'KB-10003', 'Obakeng', 'Ramokate', '+267 76 720 601', '4004', 'Francistown', 'Olebile Moatlhodi', 'Salary Advance', '2026-06-06', 4500, 7, 755.36, 4, 0, 0, 2266.08, '2026-10-25', 0, 'Current', 'No');</v>
      </c>
    </row>
    <row r="5">
      <c r="A5" s="9" t="s">
        <v>198</v>
      </c>
      <c r="B5" s="9" t="s">
        <v>200</v>
      </c>
      <c r="C5" s="9" t="s">
        <v>203</v>
      </c>
      <c r="D5" s="9" t="s">
        <v>39</v>
      </c>
      <c r="E5" s="9" t="s">
        <v>206</v>
      </c>
      <c r="F5" s="10" t="s">
        <v>208</v>
      </c>
      <c r="G5" s="9" t="s">
        <v>210</v>
      </c>
      <c r="H5" s="9" t="s">
        <v>212</v>
      </c>
      <c r="I5" s="9" t="s">
        <v>213</v>
      </c>
      <c r="J5" s="11">
        <v>46218.0</v>
      </c>
      <c r="K5" s="12">
        <v>3000.0</v>
      </c>
      <c r="L5" s="9">
        <v>4.0</v>
      </c>
      <c r="M5" s="12">
        <v>802.5</v>
      </c>
      <c r="N5" s="9">
        <v>2.0</v>
      </c>
      <c r="O5" s="12">
        <v>0.0</v>
      </c>
      <c r="P5" s="12">
        <v>0.0</v>
      </c>
      <c r="Q5" s="12">
        <v>1605.0</v>
      </c>
      <c r="R5" s="11">
        <v>46310.0</v>
      </c>
      <c r="S5" s="9">
        <v>0.0</v>
      </c>
      <c r="T5" s="9" t="s">
        <v>188</v>
      </c>
      <c r="U5" s="9" t="s">
        <v>56</v>
      </c>
      <c r="V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('KM-L-0004', 'KB-10004', 'Refilwe', 'Modise', '+267 75 732 741', '5420', 'Tlokweng', 'Bame Mokone', 'School Fees Loan', '2026-07-15', 3000, 4, 802.5, 2, 0, 0, 1605, '2026-10-15', 0, 'Current', 'No');</v>
      </c>
    </row>
    <row r="6">
      <c r="A6" s="9" t="s">
        <v>225</v>
      </c>
      <c r="B6" s="9" t="s">
        <v>233</v>
      </c>
      <c r="C6" s="9" t="s">
        <v>236</v>
      </c>
      <c r="D6" s="9" t="s">
        <v>132</v>
      </c>
      <c r="E6" s="9" t="s">
        <v>239</v>
      </c>
      <c r="F6" s="10" t="s">
        <v>242</v>
      </c>
      <c r="G6" s="9" t="s">
        <v>135</v>
      </c>
      <c r="H6" s="9" t="s">
        <v>137</v>
      </c>
      <c r="I6" s="9" t="s">
        <v>139</v>
      </c>
      <c r="J6" s="11">
        <v>46057.0</v>
      </c>
      <c r="K6" s="12">
        <v>6500.0</v>
      </c>
      <c r="L6" s="9">
        <v>10.0</v>
      </c>
      <c r="M6" s="12">
        <v>812.5</v>
      </c>
      <c r="N6" s="9">
        <v>8.0</v>
      </c>
      <c r="O6" s="12">
        <v>0.0</v>
      </c>
      <c r="P6" s="12">
        <v>0.0</v>
      </c>
      <c r="Q6" s="12">
        <v>1625.0</v>
      </c>
      <c r="R6" s="11">
        <v>46320.0</v>
      </c>
      <c r="S6" s="9">
        <v>0.0</v>
      </c>
      <c r="T6" s="9" t="s">
        <v>188</v>
      </c>
      <c r="U6" s="9" t="s">
        <v>56</v>
      </c>
      <c r="V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('KM-L-0005', 'KB-10005', 'Tebogo', 'Rakgomo', '+267 75 111 444', '8093', 'Francistown', 'Olebile Moatlhodi', 'Salary Advance', '2026-02-04', 6500, 10, 812.5, 8, 0, 0, 1625, '2026-10-25', 0, 'Current', 'No');</v>
      </c>
    </row>
    <row r="7">
      <c r="A7" s="9" t="s">
        <v>262</v>
      </c>
      <c r="B7" s="9" t="s">
        <v>264</v>
      </c>
      <c r="C7" s="9" t="s">
        <v>266</v>
      </c>
      <c r="D7" s="9" t="s">
        <v>267</v>
      </c>
      <c r="E7" s="9" t="s">
        <v>269</v>
      </c>
      <c r="F7" s="10" t="s">
        <v>270</v>
      </c>
      <c r="G7" s="9" t="s">
        <v>135</v>
      </c>
      <c r="H7" s="9" t="s">
        <v>137</v>
      </c>
      <c r="I7" s="9" t="s">
        <v>47</v>
      </c>
      <c r="J7" s="11">
        <v>46011.0</v>
      </c>
      <c r="K7" s="12">
        <v>59500.0</v>
      </c>
      <c r="L7" s="9">
        <v>10.0</v>
      </c>
      <c r="M7" s="12">
        <v>7140.0</v>
      </c>
      <c r="N7" s="9">
        <v>9.0</v>
      </c>
      <c r="O7" s="12">
        <v>0.0</v>
      </c>
      <c r="P7" s="12">
        <v>0.0</v>
      </c>
      <c r="Q7" s="12">
        <v>7140.0</v>
      </c>
      <c r="R7" s="11">
        <v>46305.0</v>
      </c>
      <c r="S7" s="9">
        <v>0.0</v>
      </c>
      <c r="T7" s="9" t="s">
        <v>188</v>
      </c>
      <c r="U7" s="9" t="s">
        <v>56</v>
      </c>
      <c r="V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('KM-L-0006', 'KB-10006', 'Boitumelo', 'Mabote', '+267 77 886 297', '3566', 'Francistown', 'Olebile Moatlhodi', 'Small Business Loan', '2025-12-20', 59500, 10, 7140, 9, 0, 0, 7140, '2026-10-10', 0, 'Current', 'No');</v>
      </c>
    </row>
    <row r="8">
      <c r="A8" s="9" t="s">
        <v>285</v>
      </c>
      <c r="B8" s="9" t="s">
        <v>287</v>
      </c>
      <c r="C8" s="9" t="s">
        <v>289</v>
      </c>
      <c r="D8" s="9" t="s">
        <v>290</v>
      </c>
      <c r="E8" s="9" t="s">
        <v>292</v>
      </c>
      <c r="F8" s="10" t="s">
        <v>294</v>
      </c>
      <c r="G8" s="9" t="s">
        <v>44</v>
      </c>
      <c r="H8" s="9" t="s">
        <v>45</v>
      </c>
      <c r="I8" s="9" t="s">
        <v>139</v>
      </c>
      <c r="J8" s="11">
        <v>46207.0</v>
      </c>
      <c r="K8" s="12">
        <v>10000.0</v>
      </c>
      <c r="L8" s="9">
        <v>8.0</v>
      </c>
      <c r="M8" s="12">
        <v>1500.0</v>
      </c>
      <c r="N8" s="9">
        <v>3.0</v>
      </c>
      <c r="O8" s="12">
        <v>0.0</v>
      </c>
      <c r="P8" s="12">
        <v>0.0</v>
      </c>
      <c r="Q8" s="12">
        <v>7500.0</v>
      </c>
      <c r="R8" s="11">
        <v>46320.0</v>
      </c>
      <c r="S8" s="9">
        <v>0.0</v>
      </c>
      <c r="T8" s="9" t="s">
        <v>188</v>
      </c>
      <c r="U8" s="9" t="s">
        <v>56</v>
      </c>
      <c r="V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('KM-L-0007', 'KB-10007', 'Neo', 'Mokgethi', '+267 71 555 204', '4821', 'Gaborone Main Mall', 'Mmoloki Sebina', 'Salary Advance', '2026-07-04', 10000, 8, 1500, 3, 0, 0, 7500, '2026-10-25', 0, 'Current', 'No');</v>
      </c>
    </row>
    <row r="9">
      <c r="A9" s="9" t="s">
        <v>315</v>
      </c>
      <c r="B9" s="9" t="s">
        <v>316</v>
      </c>
      <c r="C9" s="9" t="s">
        <v>317</v>
      </c>
      <c r="D9" s="9" t="s">
        <v>318</v>
      </c>
      <c r="E9" s="9" t="s">
        <v>320</v>
      </c>
      <c r="F9" s="10" t="s">
        <v>322</v>
      </c>
      <c r="G9" s="9" t="s">
        <v>44</v>
      </c>
      <c r="H9" s="9" t="s">
        <v>323</v>
      </c>
      <c r="I9" s="9" t="s">
        <v>139</v>
      </c>
      <c r="J9" s="11">
        <v>46165.0</v>
      </c>
      <c r="K9" s="12">
        <v>1500.0</v>
      </c>
      <c r="L9" s="9">
        <v>5.0</v>
      </c>
      <c r="M9" s="12">
        <v>337.5</v>
      </c>
      <c r="N9" s="9">
        <v>3.0</v>
      </c>
      <c r="O9" s="12">
        <v>337.5</v>
      </c>
      <c r="P9" s="12">
        <v>0.0</v>
      </c>
      <c r="Q9" s="12">
        <v>675.0</v>
      </c>
      <c r="R9" s="11">
        <v>46290.0</v>
      </c>
      <c r="S9" s="9">
        <v>5.0</v>
      </c>
      <c r="T9" s="9" t="s">
        <v>55</v>
      </c>
      <c r="U9" s="9" t="s">
        <v>56</v>
      </c>
      <c r="V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('KM-L-0008', 'KB-10008', 'Phenyo', 'Mogapi', '+267 72 339 424', '8049', 'Gaborone Main Mall', 'Tshiamo Ntsima', 'Salary Advance', '2026-05-23', 1500, 5, 337.5, 3, 337.5, 0, 675, '2026-09-25', 5, 'In arrears', 'No');</v>
      </c>
    </row>
    <row r="10">
      <c r="A10" s="9" t="s">
        <v>341</v>
      </c>
      <c r="B10" s="9" t="s">
        <v>342</v>
      </c>
      <c r="C10" s="9" t="s">
        <v>343</v>
      </c>
      <c r="D10" s="9" t="s">
        <v>344</v>
      </c>
      <c r="E10" s="9" t="s">
        <v>345</v>
      </c>
      <c r="F10" s="10" t="s">
        <v>346</v>
      </c>
      <c r="G10" s="9" t="s">
        <v>44</v>
      </c>
      <c r="H10" s="9" t="s">
        <v>45</v>
      </c>
      <c r="I10" s="9" t="s">
        <v>213</v>
      </c>
      <c r="J10" s="11">
        <v>46037.0</v>
      </c>
      <c r="K10" s="12">
        <v>17500.0</v>
      </c>
      <c r="L10" s="9">
        <v>9.0</v>
      </c>
      <c r="M10" s="12">
        <v>2250.69</v>
      </c>
      <c r="N10" s="9">
        <v>8.0</v>
      </c>
      <c r="O10" s="12">
        <v>0.0</v>
      </c>
      <c r="P10" s="12">
        <v>0.0</v>
      </c>
      <c r="Q10" s="12">
        <v>2250.69</v>
      </c>
      <c r="R10" s="11">
        <v>46310.0</v>
      </c>
      <c r="S10" s="9">
        <v>0.0</v>
      </c>
      <c r="T10" s="9" t="s">
        <v>188</v>
      </c>
      <c r="U10" s="9" t="s">
        <v>56</v>
      </c>
      <c r="V1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('KM-L-0009', 'KB-10009', 'Mmaserame', 'Kgathi', '+267 74 094 117', '9627', 'Gaborone Main Mall', 'Mmoloki Sebina', 'School Fees Loan', '2026-01-15', 17500, 9, 2250.69, 8, 0, 0, 2250.69, '2026-10-15', 0, 'Current', 'No');</v>
      </c>
    </row>
    <row r="11">
      <c r="A11" s="9" t="s">
        <v>351</v>
      </c>
      <c r="B11" s="9" t="s">
        <v>352</v>
      </c>
      <c r="C11" s="9" t="s">
        <v>353</v>
      </c>
      <c r="D11" s="9" t="s">
        <v>354</v>
      </c>
      <c r="E11" s="9" t="s">
        <v>355</v>
      </c>
      <c r="F11" s="10" t="s">
        <v>356</v>
      </c>
      <c r="G11" s="9" t="s">
        <v>135</v>
      </c>
      <c r="H11" s="9" t="s">
        <v>137</v>
      </c>
      <c r="I11" s="9" t="s">
        <v>213</v>
      </c>
      <c r="J11" s="11">
        <v>46228.0</v>
      </c>
      <c r="K11" s="12">
        <v>23000.0</v>
      </c>
      <c r="L11" s="9">
        <v>4.0</v>
      </c>
      <c r="M11" s="12">
        <v>6152.5</v>
      </c>
      <c r="N11" s="9">
        <v>2.0</v>
      </c>
      <c r="O11" s="12">
        <v>0.0</v>
      </c>
      <c r="P11" s="12">
        <v>0.0</v>
      </c>
      <c r="Q11" s="12">
        <v>12305.0</v>
      </c>
      <c r="R11" s="11">
        <v>46310.0</v>
      </c>
      <c r="S11" s="9">
        <v>0.0</v>
      </c>
      <c r="T11" s="9" t="s">
        <v>188</v>
      </c>
      <c r="U11" s="9" t="s">
        <v>56</v>
      </c>
      <c r="V1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('KM-L-0010', 'KB-10010', 'Bakang', 'Kelaotswe', '+267 74 014 458', '8102', 'Francistown', 'Olebile Moatlhodi', 'School Fees Loan', '2026-07-25', 23000, 4, 6152.5, 2, 0, 0, 12305, '2026-10-15', 0, 'Current', 'No');</v>
      </c>
    </row>
    <row r="12">
      <c r="A12" s="9" t="s">
        <v>357</v>
      </c>
      <c r="B12" s="9" t="s">
        <v>358</v>
      </c>
      <c r="C12" s="9" t="s">
        <v>359</v>
      </c>
      <c r="D12" s="9" t="s">
        <v>360</v>
      </c>
      <c r="E12" s="9" t="s">
        <v>361</v>
      </c>
      <c r="F12" s="10" t="s">
        <v>362</v>
      </c>
      <c r="G12" s="9" t="s">
        <v>44</v>
      </c>
      <c r="H12" s="9" t="s">
        <v>323</v>
      </c>
      <c r="I12" s="9" t="s">
        <v>139</v>
      </c>
      <c r="J12" s="11">
        <v>46110.0</v>
      </c>
      <c r="K12" s="12">
        <v>14500.0</v>
      </c>
      <c r="L12" s="9">
        <v>10.0</v>
      </c>
      <c r="M12" s="12">
        <v>1812.5</v>
      </c>
      <c r="N12" s="9">
        <v>6.0</v>
      </c>
      <c r="O12" s="12">
        <v>0.0</v>
      </c>
      <c r="P12" s="12">
        <v>0.0</v>
      </c>
      <c r="Q12" s="12">
        <v>7250.0</v>
      </c>
      <c r="R12" s="11">
        <v>46320.0</v>
      </c>
      <c r="S12" s="9">
        <v>0.0</v>
      </c>
      <c r="T12" s="9" t="s">
        <v>188</v>
      </c>
      <c r="U12" s="9" t="s">
        <v>56</v>
      </c>
      <c r="V12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('KM-L-0011', 'KB-10011', 'Sethunya', 'Letsholo', '+267 71 579 600', '7063', 'Gaborone Main Mall', 'Tshiamo Ntsima', 'Salary Advance', '2026-03-29', 14500, 10, 1812.5, 6, 0, 0, 7250, '2026-10-25', 0, 'Current', 'No');</v>
      </c>
    </row>
    <row r="13">
      <c r="A13" s="9" t="s">
        <v>369</v>
      </c>
      <c r="B13" s="9" t="s">
        <v>370</v>
      </c>
      <c r="C13" s="9" t="s">
        <v>371</v>
      </c>
      <c r="D13" s="9" t="s">
        <v>318</v>
      </c>
      <c r="E13" s="9" t="s">
        <v>372</v>
      </c>
      <c r="F13" s="10" t="s">
        <v>373</v>
      </c>
      <c r="G13" s="9" t="s">
        <v>374</v>
      </c>
      <c r="H13" s="9" t="s">
        <v>376</v>
      </c>
      <c r="I13" s="9" t="s">
        <v>139</v>
      </c>
      <c r="J13" s="11">
        <v>46013.0</v>
      </c>
      <c r="K13" s="12">
        <v>15500.0</v>
      </c>
      <c r="L13" s="9">
        <v>11.0</v>
      </c>
      <c r="M13" s="12">
        <v>1796.59</v>
      </c>
      <c r="N13" s="9">
        <v>9.0</v>
      </c>
      <c r="O13" s="12">
        <v>0.0</v>
      </c>
      <c r="P13" s="12">
        <v>0.0</v>
      </c>
      <c r="Q13" s="12">
        <v>3593.18</v>
      </c>
      <c r="R13" s="11">
        <v>46320.0</v>
      </c>
      <c r="S13" s="9">
        <v>0.0</v>
      </c>
      <c r="T13" s="9" t="s">
        <v>188</v>
      </c>
      <c r="U13" s="9" t="s">
        <v>56</v>
      </c>
      <c r="V1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('KM-L-0012', 'KB-10012', 'Kagiso', 'Mogapi', '26777720011', '1109', 'Mogoditshane', 'Lorato Keakile', 'Salary Advance', '2025-12-22', 15500, 11, 1796.59, 9, 0, 0, 3593.18, '2026-10-25', 0, 'Current', 'No');</v>
      </c>
    </row>
    <row r="14">
      <c r="A14" s="9" t="s">
        <v>381</v>
      </c>
      <c r="B14" s="9" t="s">
        <v>382</v>
      </c>
      <c r="C14" s="9" t="s">
        <v>383</v>
      </c>
      <c r="D14" s="9" t="s">
        <v>384</v>
      </c>
      <c r="E14" s="9" t="s">
        <v>386</v>
      </c>
      <c r="F14" s="10" t="s">
        <v>387</v>
      </c>
      <c r="G14" s="9" t="s">
        <v>374</v>
      </c>
      <c r="H14" s="9" t="s">
        <v>376</v>
      </c>
      <c r="I14" s="9" t="s">
        <v>139</v>
      </c>
      <c r="J14" s="11">
        <v>46261.0</v>
      </c>
      <c r="K14" s="12">
        <v>12500.0</v>
      </c>
      <c r="L14" s="9">
        <v>9.0</v>
      </c>
      <c r="M14" s="12">
        <v>1701.39</v>
      </c>
      <c r="N14" s="9">
        <v>1.0</v>
      </c>
      <c r="O14" s="12">
        <v>0.0</v>
      </c>
      <c r="P14" s="12">
        <v>0.0</v>
      </c>
      <c r="Q14" s="12">
        <v>13611.12</v>
      </c>
      <c r="R14" s="11">
        <v>46320.0</v>
      </c>
      <c r="S14" s="9">
        <v>0.0</v>
      </c>
      <c r="T14" s="9" t="s">
        <v>188</v>
      </c>
      <c r="U14" s="9" t="s">
        <v>56</v>
      </c>
      <c r="V1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('KM-L-0013', 'KB-10013', 'Wame', 'Matlhare', '+267 72 657 342', '8732', 'Mogoditshane', 'Lorato Keakile', 'Salary Advance', '2026-08-27', 12500, 9, 1701.39, 1, 0, 0, 13611.12, '2026-10-25', 0, 'Current', 'No');</v>
      </c>
    </row>
    <row r="15">
      <c r="A15" s="9" t="s">
        <v>390</v>
      </c>
      <c r="B15" s="9" t="s">
        <v>391</v>
      </c>
      <c r="C15" s="9" t="s">
        <v>392</v>
      </c>
      <c r="D15" s="9" t="s">
        <v>354</v>
      </c>
      <c r="E15" s="9" t="s">
        <v>394</v>
      </c>
      <c r="F15" s="10" t="s">
        <v>396</v>
      </c>
      <c r="G15" s="9" t="s">
        <v>44</v>
      </c>
      <c r="H15" s="9" t="s">
        <v>323</v>
      </c>
      <c r="I15" s="9" t="s">
        <v>47</v>
      </c>
      <c r="J15" s="11">
        <v>46125.0</v>
      </c>
      <c r="K15" s="12">
        <v>19500.0</v>
      </c>
      <c r="L15" s="9">
        <v>10.0</v>
      </c>
      <c r="M15" s="12">
        <v>2340.0</v>
      </c>
      <c r="N15" s="9">
        <v>5.0</v>
      </c>
      <c r="O15" s="12">
        <v>0.0</v>
      </c>
      <c r="P15" s="12">
        <v>0.0</v>
      </c>
      <c r="Q15" s="12">
        <v>11700.0</v>
      </c>
      <c r="R15" s="11">
        <v>46305.0</v>
      </c>
      <c r="S15" s="9">
        <v>0.0</v>
      </c>
      <c r="T15" s="9" t="s">
        <v>188</v>
      </c>
      <c r="U15" s="9" t="s">
        <v>56</v>
      </c>
      <c r="V1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('KM-L-0014', 'KB-10014', 'Olorato', 'Kelaotswe', '+267 73 409 780', '0510', 'Gaborone Main Mall', 'Tshiamo Ntsima', 'Small Business Loan', '2026-04-13', 19500, 10, 2340, 5, 0, 0, 11700, '2026-10-10', 0, 'Current', 'No');</v>
      </c>
    </row>
    <row r="16">
      <c r="A16" s="9" t="s">
        <v>399</v>
      </c>
      <c r="B16" s="9" t="s">
        <v>400</v>
      </c>
      <c r="C16" s="9" t="s">
        <v>38</v>
      </c>
      <c r="D16" s="9" t="s">
        <v>360</v>
      </c>
      <c r="E16" s="9" t="s">
        <v>401</v>
      </c>
      <c r="F16" s="10" t="s">
        <v>402</v>
      </c>
      <c r="G16" s="9" t="s">
        <v>210</v>
      </c>
      <c r="H16" s="9" t="s">
        <v>212</v>
      </c>
      <c r="I16" s="9" t="s">
        <v>213</v>
      </c>
      <c r="J16" s="11">
        <v>46217.0</v>
      </c>
      <c r="K16" s="12">
        <v>18000.0</v>
      </c>
      <c r="L16" s="9">
        <v>7.0</v>
      </c>
      <c r="M16" s="12">
        <v>2886.43</v>
      </c>
      <c r="N16" s="9">
        <v>2.0</v>
      </c>
      <c r="O16" s="12">
        <v>0.0</v>
      </c>
      <c r="P16" s="12">
        <v>0.0</v>
      </c>
      <c r="Q16" s="12">
        <v>14432.15</v>
      </c>
      <c r="R16" s="11">
        <v>46310.0</v>
      </c>
      <c r="S16" s="9">
        <v>0.0</v>
      </c>
      <c r="T16" s="9" t="s">
        <v>188</v>
      </c>
      <c r="U16" s="9" t="s">
        <v>56</v>
      </c>
      <c r="V1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('KM-L-0015', 'KB-10015', 'Amantle', 'Letsholo', '+267 74 993 327', '4027', 'Tlokweng', 'Bame Mokone', 'School Fees Loan', '2026-07-14', 18000, 7, 2886.43, 2, 0, 0, 14432.15, '2026-10-15', 0, 'Current', 'No');</v>
      </c>
    </row>
    <row r="17">
      <c r="A17" s="9" t="s">
        <v>257</v>
      </c>
      <c r="B17" s="9" t="s">
        <v>408</v>
      </c>
      <c r="C17" s="9" t="s">
        <v>409</v>
      </c>
      <c r="D17" s="9" t="s">
        <v>410</v>
      </c>
      <c r="E17" s="9" t="s">
        <v>411</v>
      </c>
      <c r="F17" s="10" t="s">
        <v>412</v>
      </c>
      <c r="G17" s="9" t="s">
        <v>135</v>
      </c>
      <c r="H17" s="9" t="s">
        <v>137</v>
      </c>
      <c r="I17" s="9" t="s">
        <v>139</v>
      </c>
      <c r="J17" s="11">
        <v>46231.0</v>
      </c>
      <c r="K17" s="12">
        <v>1000.0</v>
      </c>
      <c r="L17" s="9">
        <v>4.0</v>
      </c>
      <c r="M17" s="12">
        <v>275.0</v>
      </c>
      <c r="N17" s="9">
        <v>0.0</v>
      </c>
      <c r="O17" s="12">
        <v>550.0</v>
      </c>
      <c r="P17" s="12">
        <v>13.75</v>
      </c>
      <c r="Q17" s="12">
        <v>1113.75</v>
      </c>
      <c r="R17" s="11">
        <v>46259.0</v>
      </c>
      <c r="S17" s="9">
        <v>36.0</v>
      </c>
      <c r="T17" s="9" t="s">
        <v>55</v>
      </c>
      <c r="U17" s="9" t="s">
        <v>56</v>
      </c>
      <c r="V1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('KM-L-0016', 'KB-10016', 'Keabetswe', 'Nkwe', '+267 71 216 301', '3829', 'Francistown', 'Olebile Moatlhodi', 'Salary Advance', '2026-07-28', 1000, 4, 275, 0, 550, 13.75, 1113.75, '2026-08-25', 36, 'In arrears', 'No');</v>
      </c>
    </row>
    <row r="18">
      <c r="A18" s="9" t="s">
        <v>419</v>
      </c>
      <c r="B18" s="9" t="s">
        <v>420</v>
      </c>
      <c r="C18" s="9" t="s">
        <v>421</v>
      </c>
      <c r="D18" s="9" t="s">
        <v>423</v>
      </c>
      <c r="E18" s="9" t="s">
        <v>424</v>
      </c>
      <c r="F18" s="10" t="s">
        <v>425</v>
      </c>
      <c r="G18" s="9" t="s">
        <v>374</v>
      </c>
      <c r="H18" s="9" t="s">
        <v>376</v>
      </c>
      <c r="I18" s="9" t="s">
        <v>139</v>
      </c>
      <c r="J18" s="11">
        <v>46180.0</v>
      </c>
      <c r="K18" s="12">
        <v>12500.0</v>
      </c>
      <c r="L18" s="9">
        <v>5.0</v>
      </c>
      <c r="M18" s="12">
        <v>2812.5</v>
      </c>
      <c r="N18" s="9">
        <v>4.0</v>
      </c>
      <c r="O18" s="12">
        <v>0.0</v>
      </c>
      <c r="P18" s="12">
        <v>0.0</v>
      </c>
      <c r="Q18" s="12">
        <v>2812.5</v>
      </c>
      <c r="R18" s="11">
        <v>46320.0</v>
      </c>
      <c r="S18" s="9">
        <v>0.0</v>
      </c>
      <c r="T18" s="9" t="s">
        <v>188</v>
      </c>
      <c r="U18" s="9" t="s">
        <v>56</v>
      </c>
      <c r="V1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('KM-L-0017', 'KB-10017', 'Tlotlo', 'Molefe', '+267 71 121 574', '6168', 'Mogoditshane', 'Lorato Keakile', 'Salary Advance', '2026-06-07', 12500, 5, 2812.5, 4, 0, 0, 2812.5, '2026-10-25', 0, 'Current', 'No');</v>
      </c>
    </row>
    <row r="19">
      <c r="A19" s="9" t="s">
        <v>432</v>
      </c>
      <c r="B19" s="9" t="s">
        <v>433</v>
      </c>
      <c r="C19" s="9" t="s">
        <v>434</v>
      </c>
      <c r="D19" s="9" t="s">
        <v>435</v>
      </c>
      <c r="E19" s="9" t="s">
        <v>436</v>
      </c>
      <c r="F19" s="10" t="s">
        <v>437</v>
      </c>
      <c r="G19" s="9" t="s">
        <v>210</v>
      </c>
      <c r="H19" s="9" t="s">
        <v>212</v>
      </c>
      <c r="I19" s="9" t="s">
        <v>139</v>
      </c>
      <c r="J19" s="11">
        <v>46261.0</v>
      </c>
      <c r="K19" s="12">
        <v>17500.0</v>
      </c>
      <c r="L19" s="9">
        <v>6.0</v>
      </c>
      <c r="M19" s="12">
        <v>3354.17</v>
      </c>
      <c r="N19" s="9">
        <v>1.0</v>
      </c>
      <c r="O19" s="12">
        <v>0.0</v>
      </c>
      <c r="P19" s="12">
        <v>0.0</v>
      </c>
      <c r="Q19" s="12">
        <v>16770.85</v>
      </c>
      <c r="R19" s="11">
        <v>46320.0</v>
      </c>
      <c r="S19" s="9">
        <v>0.0</v>
      </c>
      <c r="T19" s="9" t="s">
        <v>188</v>
      </c>
      <c r="U19" s="9" t="s">
        <v>56</v>
      </c>
      <c r="V1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('KM-L-0018', 'KB-10018', 'Tsholofelo', 'Morake', '76914049', '7106', 'Tlokweng', 'Bame Mokone', 'Salary Advance', '2026-08-27', 17500, 6, 3354.17, 1, 0, 0, 16770.85, '2026-10-25', 0, 'Current', 'No');</v>
      </c>
    </row>
    <row r="20">
      <c r="A20" s="9" t="s">
        <v>442</v>
      </c>
      <c r="B20" s="9" t="s">
        <v>444</v>
      </c>
      <c r="C20" s="9" t="s">
        <v>236</v>
      </c>
      <c r="D20" s="9" t="s">
        <v>445</v>
      </c>
      <c r="E20" s="9" t="s">
        <v>446</v>
      </c>
      <c r="F20" s="10" t="s">
        <v>447</v>
      </c>
      <c r="G20" s="9" t="s">
        <v>374</v>
      </c>
      <c r="H20" s="9" t="s">
        <v>376</v>
      </c>
      <c r="I20" s="9" t="s">
        <v>139</v>
      </c>
      <c r="J20" s="11">
        <v>46194.0</v>
      </c>
      <c r="K20" s="12">
        <v>3600.0</v>
      </c>
      <c r="L20" s="9">
        <v>4.0</v>
      </c>
      <c r="M20" s="12">
        <v>990.0</v>
      </c>
      <c r="N20" s="9">
        <v>2.0</v>
      </c>
      <c r="O20" s="12">
        <v>990.0</v>
      </c>
      <c r="P20" s="12">
        <v>0.0</v>
      </c>
      <c r="Q20" s="12">
        <v>1980.0</v>
      </c>
      <c r="R20" s="11">
        <v>46290.0</v>
      </c>
      <c r="S20" s="9">
        <v>5.0</v>
      </c>
      <c r="T20" s="9" t="s">
        <v>55</v>
      </c>
      <c r="U20" s="9" t="s">
        <v>56</v>
      </c>
      <c r="V2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('KM-L-0019', 'KB-10019', 'Tebogo', 'Kebonang', '+267 72 318 846', '3307', 'Mogoditshane', 'Lorato Keakile', 'Salary Advance', '2026-06-21', 3600, 4, 990, 2, 990, 0, 1980, '2026-09-25', 5, 'In arrears', 'No');</v>
      </c>
    </row>
    <row r="21" ht="15.75" customHeight="1">
      <c r="A21" s="9" t="s">
        <v>451</v>
      </c>
      <c r="B21" s="9" t="s">
        <v>452</v>
      </c>
      <c r="C21" s="9" t="s">
        <v>71</v>
      </c>
      <c r="D21" s="9" t="s">
        <v>453</v>
      </c>
      <c r="E21" s="9" t="s">
        <v>454</v>
      </c>
      <c r="F21" s="10" t="s">
        <v>455</v>
      </c>
      <c r="G21" s="9" t="s">
        <v>44</v>
      </c>
      <c r="H21" s="9" t="s">
        <v>45</v>
      </c>
      <c r="I21" s="9" t="s">
        <v>213</v>
      </c>
      <c r="J21" s="11">
        <v>46225.0</v>
      </c>
      <c r="K21" s="12">
        <v>15500.0</v>
      </c>
      <c r="L21" s="9">
        <v>8.0</v>
      </c>
      <c r="M21" s="12">
        <v>2208.75</v>
      </c>
      <c r="N21" s="9">
        <v>2.0</v>
      </c>
      <c r="O21" s="12">
        <v>0.0</v>
      </c>
      <c r="P21" s="12">
        <v>0.0</v>
      </c>
      <c r="Q21" s="12">
        <v>13252.5</v>
      </c>
      <c r="R21" s="11">
        <v>46310.0</v>
      </c>
      <c r="S21" s="9">
        <v>0.0</v>
      </c>
      <c r="T21" s="9" t="s">
        <v>457</v>
      </c>
      <c r="U21" s="9" t="s">
        <v>458</v>
      </c>
      <c r="V2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('KM-L-0020', 'KB-10020', 'Lorato', 'Tau', '+267 72 701 549', '6782', 'Gaborone Main Mall', 'Mmoloki Sebina', 'School Fees Loan', '2026-07-22', 15500, 8, 2208.75, 2, 0, 0, 13252.5, '2026-10-15', 0, 'Restructured', 'Yes');</v>
      </c>
    </row>
    <row r="22" ht="15.75" customHeight="1">
      <c r="A22" s="9" t="s">
        <v>460</v>
      </c>
      <c r="B22" s="9" t="s">
        <v>461</v>
      </c>
      <c r="C22" s="9" t="s">
        <v>462</v>
      </c>
      <c r="D22" s="9" t="s">
        <v>463</v>
      </c>
      <c r="E22" s="9" t="s">
        <v>464</v>
      </c>
      <c r="F22" s="10" t="s">
        <v>465</v>
      </c>
      <c r="G22" s="9" t="s">
        <v>135</v>
      </c>
      <c r="H22" s="9" t="s">
        <v>137</v>
      </c>
      <c r="I22" s="9" t="s">
        <v>139</v>
      </c>
      <c r="J22" s="11">
        <v>46260.0</v>
      </c>
      <c r="K22" s="12">
        <v>4500.0</v>
      </c>
      <c r="L22" s="9">
        <v>4.0</v>
      </c>
      <c r="M22" s="12">
        <v>1237.5</v>
      </c>
      <c r="N22" s="9">
        <v>1.0</v>
      </c>
      <c r="O22" s="12">
        <v>0.0</v>
      </c>
      <c r="P22" s="12">
        <v>0.0</v>
      </c>
      <c r="Q22" s="12">
        <v>3712.5</v>
      </c>
      <c r="R22" s="11">
        <v>46320.0</v>
      </c>
      <c r="S22" s="9">
        <v>0.0</v>
      </c>
      <c r="T22" s="9" t="s">
        <v>188</v>
      </c>
      <c r="U22" s="9" t="s">
        <v>56</v>
      </c>
      <c r="V22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('KM-L-0021', 'KB-10021', 'Lesego', 'Oagile', '+267 77 899 294', '8162', 'Francistown', 'Olebile Moatlhodi', 'Salary Advance', '2026-08-26', 4500, 4, 1237.5, 1, 0, 0, 3712.5, '2026-10-25', 0, 'Current', 'No');</v>
      </c>
    </row>
    <row r="23" ht="15.75" customHeight="1">
      <c r="A23" s="9" t="s">
        <v>469</v>
      </c>
      <c r="B23" s="9" t="s">
        <v>470</v>
      </c>
      <c r="C23" s="9" t="s">
        <v>434</v>
      </c>
      <c r="D23" s="9" t="s">
        <v>471</v>
      </c>
      <c r="E23" s="9" t="s">
        <v>472</v>
      </c>
      <c r="F23" s="10" t="s">
        <v>473</v>
      </c>
      <c r="G23" s="9" t="s">
        <v>210</v>
      </c>
      <c r="H23" s="9" t="s">
        <v>212</v>
      </c>
      <c r="I23" s="9" t="s">
        <v>213</v>
      </c>
      <c r="J23" s="11">
        <v>46228.0</v>
      </c>
      <c r="K23" s="12">
        <v>28500.0</v>
      </c>
      <c r="L23" s="9">
        <v>4.0</v>
      </c>
      <c r="M23" s="12">
        <v>7623.75</v>
      </c>
      <c r="N23" s="9">
        <v>2.0</v>
      </c>
      <c r="O23" s="12">
        <v>0.0</v>
      </c>
      <c r="P23" s="12">
        <v>0.0</v>
      </c>
      <c r="Q23" s="12">
        <v>15247.5</v>
      </c>
      <c r="R23" s="11">
        <v>46310.0</v>
      </c>
      <c r="S23" s="9">
        <v>0.0</v>
      </c>
      <c r="T23" s="9" t="s">
        <v>188</v>
      </c>
      <c r="U23" s="9" t="s">
        <v>56</v>
      </c>
      <c r="V2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('KM-L-0022', 'KB-10022', 'Tsholofelo', 'Dikgang', '26772002324', '7351', 'Tlokweng', 'Bame Mokone', 'School Fees Loan', '2026-07-25', 28500, 4, 7623.75, 2, 0, 0, 15247.5, '2026-10-15', 0, 'Current', 'No');</v>
      </c>
    </row>
    <row r="24" ht="15.75" customHeight="1">
      <c r="A24" s="9" t="s">
        <v>478</v>
      </c>
      <c r="B24" s="9" t="s">
        <v>479</v>
      </c>
      <c r="C24" s="9" t="s">
        <v>266</v>
      </c>
      <c r="D24" s="9" t="s">
        <v>480</v>
      </c>
      <c r="E24" s="9" t="s">
        <v>481</v>
      </c>
      <c r="F24" s="10" t="s">
        <v>482</v>
      </c>
      <c r="G24" s="9" t="s">
        <v>210</v>
      </c>
      <c r="H24" s="9" t="s">
        <v>212</v>
      </c>
      <c r="I24" s="9" t="s">
        <v>213</v>
      </c>
      <c r="J24" s="11">
        <v>46229.0</v>
      </c>
      <c r="K24" s="12">
        <v>26500.0</v>
      </c>
      <c r="L24" s="9">
        <v>9.0</v>
      </c>
      <c r="M24" s="12">
        <v>3408.19</v>
      </c>
      <c r="N24" s="9">
        <v>2.0</v>
      </c>
      <c r="O24" s="12">
        <v>0.0</v>
      </c>
      <c r="P24" s="12">
        <v>0.0</v>
      </c>
      <c r="Q24" s="12">
        <v>23857.33</v>
      </c>
      <c r="R24" s="11">
        <v>46310.0</v>
      </c>
      <c r="S24" s="9">
        <v>0.0</v>
      </c>
      <c r="T24" s="9" t="s">
        <v>188</v>
      </c>
      <c r="U24" s="9" t="s">
        <v>56</v>
      </c>
      <c r="V2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('KM-L-0023', 'KB-10023', 'Boitumelo', 'Setlhare', '+267 74 747 895', '1246', 'Tlokweng', 'Bame Mokone', 'School Fees Loan', '2026-07-26', 26500, 9, 3408.19, 2, 0, 0, 23857.33, '2026-10-15', 0, 'Current', 'No');</v>
      </c>
    </row>
    <row r="25" ht="15.75" customHeight="1">
      <c r="A25" s="9" t="s">
        <v>485</v>
      </c>
      <c r="B25" s="9" t="s">
        <v>486</v>
      </c>
      <c r="C25" s="9" t="s">
        <v>487</v>
      </c>
      <c r="D25" s="9" t="s">
        <v>488</v>
      </c>
      <c r="E25" s="9" t="s">
        <v>489</v>
      </c>
      <c r="F25" s="10" t="s">
        <v>490</v>
      </c>
      <c r="G25" s="9" t="s">
        <v>374</v>
      </c>
      <c r="H25" s="9" t="s">
        <v>376</v>
      </c>
      <c r="I25" s="9" t="s">
        <v>47</v>
      </c>
      <c r="J25" s="11">
        <v>46125.0</v>
      </c>
      <c r="K25" s="12">
        <v>15000.0</v>
      </c>
      <c r="L25" s="9">
        <v>6.0</v>
      </c>
      <c r="M25" s="12">
        <v>2800.0</v>
      </c>
      <c r="N25" s="9">
        <v>5.0</v>
      </c>
      <c r="O25" s="12">
        <v>0.0</v>
      </c>
      <c r="P25" s="12">
        <v>0.0</v>
      </c>
      <c r="Q25" s="12">
        <v>2800.0</v>
      </c>
      <c r="R25" s="11">
        <v>46305.0</v>
      </c>
      <c r="S25" s="9">
        <v>0.0</v>
      </c>
      <c r="T25" s="9" t="s">
        <v>188</v>
      </c>
      <c r="U25" s="9" t="s">
        <v>56</v>
      </c>
      <c r="V2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('KM-L-0024', 'KB-10024', 'Kealeboga', 'Ntshole', '+267 73 768 749', '8849', 'Mogoditshane', 'Lorato Keakile', 'Small Business Loan', '2026-04-13', 15000, 6, 2800, 5, 0, 0, 2800, '2026-10-10', 0, 'Current', 'No');</v>
      </c>
    </row>
    <row r="26" ht="15.75" customHeight="1">
      <c r="A26" s="9" t="s">
        <v>334</v>
      </c>
      <c r="B26" s="9" t="s">
        <v>491</v>
      </c>
      <c r="C26" s="9" t="s">
        <v>492</v>
      </c>
      <c r="D26" s="9" t="s">
        <v>132</v>
      </c>
      <c r="E26" s="9" t="s">
        <v>493</v>
      </c>
      <c r="F26" s="10" t="s">
        <v>494</v>
      </c>
      <c r="G26" s="9" t="s">
        <v>44</v>
      </c>
      <c r="H26" s="9" t="s">
        <v>323</v>
      </c>
      <c r="I26" s="9" t="s">
        <v>213</v>
      </c>
      <c r="J26" s="11">
        <v>46248.0</v>
      </c>
      <c r="K26" s="12">
        <v>12000.0</v>
      </c>
      <c r="L26" s="9">
        <v>12.0</v>
      </c>
      <c r="M26" s="12">
        <v>1210.0</v>
      </c>
      <c r="N26" s="9">
        <v>0.0</v>
      </c>
      <c r="O26" s="12">
        <v>1210.0</v>
      </c>
      <c r="P26" s="12">
        <v>60.5</v>
      </c>
      <c r="Q26" s="12">
        <v>14580.5</v>
      </c>
      <c r="R26" s="11">
        <v>46280.0</v>
      </c>
      <c r="S26" s="9">
        <v>15.0</v>
      </c>
      <c r="T26" s="9" t="s">
        <v>55</v>
      </c>
      <c r="U26" s="9" t="s">
        <v>56</v>
      </c>
      <c r="V2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('KM-L-0025', 'KB-10025', 'Kabelo', 'Rakgomo', '+267 73 978 686', '1263', 'Gaborone Main Mall', 'Tshiamo Ntsima', 'School Fees Loan', '2026-08-14', 12000, 12, 1210, 0, 1210, 60.5, 14580.5, '2026-09-15', 15, 'In arrears', 'No');</v>
      </c>
    </row>
    <row r="27" ht="15.75" customHeight="1">
      <c r="A27" s="9" t="s">
        <v>495</v>
      </c>
      <c r="B27" s="9" t="s">
        <v>496</v>
      </c>
      <c r="C27" s="9" t="s">
        <v>497</v>
      </c>
      <c r="D27" s="9" t="s">
        <v>498</v>
      </c>
      <c r="E27" s="9" t="s">
        <v>499</v>
      </c>
      <c r="F27" s="10" t="s">
        <v>500</v>
      </c>
      <c r="G27" s="9" t="s">
        <v>44</v>
      </c>
      <c r="H27" s="9" t="s">
        <v>323</v>
      </c>
      <c r="I27" s="9" t="s">
        <v>139</v>
      </c>
      <c r="J27" s="11">
        <v>46176.0</v>
      </c>
      <c r="K27" s="12">
        <v>11500.0</v>
      </c>
      <c r="L27" s="9">
        <v>6.0</v>
      </c>
      <c r="M27" s="12">
        <v>2204.17</v>
      </c>
      <c r="N27" s="9">
        <v>4.0</v>
      </c>
      <c r="O27" s="12">
        <v>0.0</v>
      </c>
      <c r="P27" s="12">
        <v>0.0</v>
      </c>
      <c r="Q27" s="12">
        <v>4408.34</v>
      </c>
      <c r="R27" s="11">
        <v>46320.0</v>
      </c>
      <c r="S27" s="9">
        <v>0.0</v>
      </c>
      <c r="T27" s="9" t="s">
        <v>188</v>
      </c>
      <c r="U27" s="9" t="s">
        <v>56</v>
      </c>
      <c r="V2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('KM-L-0026', 'KB-10026', 'Ontiretse', 'Lekoko', '+267 75 568 403', '6317', 'Gaborone Main Mall', 'Tshiamo Ntsima', 'Salary Advance', '2026-06-03', 11500, 6, 2204.17, 4, 0, 0, 4408.34, '2026-10-25', 0, 'Current', 'No');</v>
      </c>
    </row>
    <row r="28" ht="15.75" customHeight="1">
      <c r="A28" s="9" t="s">
        <v>501</v>
      </c>
      <c r="B28" s="9" t="s">
        <v>502</v>
      </c>
      <c r="C28" s="9" t="s">
        <v>503</v>
      </c>
      <c r="D28" s="9" t="s">
        <v>463</v>
      </c>
      <c r="E28" s="9" t="s">
        <v>504</v>
      </c>
      <c r="F28" s="10" t="s">
        <v>505</v>
      </c>
      <c r="G28" s="9" t="s">
        <v>44</v>
      </c>
      <c r="H28" s="9" t="s">
        <v>323</v>
      </c>
      <c r="I28" s="9" t="s">
        <v>213</v>
      </c>
      <c r="J28" s="11">
        <v>46227.0</v>
      </c>
      <c r="K28" s="12">
        <v>2500.0</v>
      </c>
      <c r="L28" s="9">
        <v>4.0</v>
      </c>
      <c r="M28" s="12">
        <v>668.75</v>
      </c>
      <c r="N28" s="9">
        <v>2.0</v>
      </c>
      <c r="O28" s="12">
        <v>0.0</v>
      </c>
      <c r="P28" s="12">
        <v>0.0</v>
      </c>
      <c r="Q28" s="12">
        <v>1337.5</v>
      </c>
      <c r="R28" s="11">
        <v>46310.0</v>
      </c>
      <c r="S28" s="9">
        <v>0.0</v>
      </c>
      <c r="T28" s="9" t="s">
        <v>188</v>
      </c>
      <c r="U28" s="9" t="s">
        <v>56</v>
      </c>
      <c r="V2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('KM-L-0027', 'KB-10027', 'Tshepo', 'Oagile', '+267 74 287 321', '2264', 'Gaborone Main Mall', 'Tshiamo Ntsima', 'School Fees Loan', '2026-07-24', 2500, 4, 668.75, 2, 0, 0, 1337.5, '2026-10-15', 0, 'Current', 'No');</v>
      </c>
    </row>
    <row r="29" ht="15.75" customHeight="1">
      <c r="A29" s="9" t="s">
        <v>506</v>
      </c>
      <c r="B29" s="9" t="s">
        <v>507</v>
      </c>
      <c r="C29" s="9" t="s">
        <v>266</v>
      </c>
      <c r="D29" s="9" t="s">
        <v>508</v>
      </c>
      <c r="E29" s="9" t="s">
        <v>509</v>
      </c>
      <c r="F29" s="10" t="s">
        <v>510</v>
      </c>
      <c r="G29" s="9" t="s">
        <v>210</v>
      </c>
      <c r="H29" s="9" t="s">
        <v>212</v>
      </c>
      <c r="I29" s="9" t="s">
        <v>47</v>
      </c>
      <c r="J29" s="11">
        <v>46155.0</v>
      </c>
      <c r="K29" s="12">
        <v>10000.0</v>
      </c>
      <c r="L29" s="9">
        <v>10.0</v>
      </c>
      <c r="M29" s="12">
        <v>1200.0</v>
      </c>
      <c r="N29" s="9">
        <v>4.0</v>
      </c>
      <c r="O29" s="12">
        <v>0.0</v>
      </c>
      <c r="P29" s="12">
        <v>0.0</v>
      </c>
      <c r="Q29" s="12">
        <v>7200.0</v>
      </c>
      <c r="R29" s="11">
        <v>46305.0</v>
      </c>
      <c r="S29" s="9">
        <v>0.0</v>
      </c>
      <c r="T29" s="9" t="s">
        <v>188</v>
      </c>
      <c r="U29" s="9" t="s">
        <v>56</v>
      </c>
      <c r="V2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('KM-L-0028', 'KB-10028', 'Boitumelo', 'Dintwe', '+267 74 902 115', '6152', 'Tlokweng', 'Bame Mokone', 'Small Business Loan', '2026-05-13', 10000, 10, 1200, 4, 0, 0, 7200, '2026-10-10', 0, 'Current', 'No');</v>
      </c>
    </row>
    <row r="30" ht="15.75" customHeight="1">
      <c r="A30" s="9" t="s">
        <v>511</v>
      </c>
      <c r="B30" s="9" t="s">
        <v>512</v>
      </c>
      <c r="C30" s="9" t="s">
        <v>513</v>
      </c>
      <c r="D30" s="9" t="s">
        <v>488</v>
      </c>
      <c r="E30" s="9" t="s">
        <v>514</v>
      </c>
      <c r="F30" s="10" t="s">
        <v>515</v>
      </c>
      <c r="G30" s="9" t="s">
        <v>210</v>
      </c>
      <c r="H30" s="9" t="s">
        <v>212</v>
      </c>
      <c r="I30" s="9" t="s">
        <v>213</v>
      </c>
      <c r="J30" s="11">
        <v>46230.0</v>
      </c>
      <c r="K30" s="12">
        <v>18500.0</v>
      </c>
      <c r="L30" s="9">
        <v>5.0</v>
      </c>
      <c r="M30" s="12">
        <v>4023.75</v>
      </c>
      <c r="N30" s="9">
        <v>2.0</v>
      </c>
      <c r="O30" s="12">
        <v>0.0</v>
      </c>
      <c r="P30" s="12">
        <v>0.0</v>
      </c>
      <c r="Q30" s="12">
        <v>12071.25</v>
      </c>
      <c r="R30" s="11">
        <v>46310.0</v>
      </c>
      <c r="S30" s="9">
        <v>0.0</v>
      </c>
      <c r="T30" s="9" t="s">
        <v>188</v>
      </c>
      <c r="U30" s="9" t="s">
        <v>56</v>
      </c>
      <c r="V3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('KM-L-0029', 'KB-10029', 'Onalenna', 'Ntshole', '+267 71 338 031', '2284', 'Tlokweng', 'Bame Mokone', 'School Fees Loan', '2026-07-27', 18500, 5, 4023.75, 2, 0, 0, 12071.25, '2026-10-15', 0, 'Current', 'No');</v>
      </c>
    </row>
    <row r="31" ht="15.75" customHeight="1">
      <c r="A31" s="9" t="s">
        <v>516</v>
      </c>
      <c r="B31" s="9" t="s">
        <v>517</v>
      </c>
      <c r="C31" s="9" t="s">
        <v>371</v>
      </c>
      <c r="D31" s="9" t="s">
        <v>518</v>
      </c>
      <c r="E31" s="9" t="s">
        <v>519</v>
      </c>
      <c r="F31" s="10" t="s">
        <v>520</v>
      </c>
      <c r="G31" s="9" t="s">
        <v>44</v>
      </c>
      <c r="H31" s="9" t="s">
        <v>45</v>
      </c>
      <c r="I31" s="9" t="s">
        <v>47</v>
      </c>
      <c r="J31" s="11">
        <v>45641.0</v>
      </c>
      <c r="K31" s="12">
        <v>5000.0</v>
      </c>
      <c r="L31" s="9">
        <v>22.0</v>
      </c>
      <c r="M31" s="12">
        <v>327.27</v>
      </c>
      <c r="N31" s="9">
        <v>21.0</v>
      </c>
      <c r="O31" s="12">
        <v>0.0</v>
      </c>
      <c r="P31" s="12">
        <v>0.0</v>
      </c>
      <c r="Q31" s="12">
        <v>327.27</v>
      </c>
      <c r="R31" s="11">
        <v>46305.0</v>
      </c>
      <c r="S31" s="9">
        <v>0.0</v>
      </c>
      <c r="T31" s="9" t="s">
        <v>457</v>
      </c>
      <c r="U31" s="9" t="s">
        <v>458</v>
      </c>
      <c r="V3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('KM-L-0030', 'KB-10030', 'Kagiso', 'Seleka', '+267 71 618 037', '2360', 'Gaborone Main Mall', 'Mmoloki Sebina', 'Small Business Loan', '2024-12-15', 5000, 22, 327.27, 21, 0, 0, 327.27, '2026-10-10', 0, 'Restructured', 'Yes');</v>
      </c>
    </row>
    <row r="32" ht="15.75" customHeight="1">
      <c r="A32" s="9" t="s">
        <v>521</v>
      </c>
      <c r="B32" s="9" t="s">
        <v>522</v>
      </c>
      <c r="C32" s="9" t="s">
        <v>523</v>
      </c>
      <c r="D32" s="9" t="s">
        <v>463</v>
      </c>
      <c r="E32" s="9" t="s">
        <v>524</v>
      </c>
      <c r="F32" s="10" t="s">
        <v>525</v>
      </c>
      <c r="G32" s="9" t="s">
        <v>374</v>
      </c>
      <c r="H32" s="9" t="s">
        <v>376</v>
      </c>
      <c r="I32" s="9" t="s">
        <v>139</v>
      </c>
      <c r="J32" s="11">
        <v>46266.0</v>
      </c>
      <c r="K32" s="12">
        <v>6000.0</v>
      </c>
      <c r="L32" s="9">
        <v>7.0</v>
      </c>
      <c r="M32" s="12">
        <v>1007.14</v>
      </c>
      <c r="N32" s="9">
        <v>1.0</v>
      </c>
      <c r="O32" s="12">
        <v>0.0</v>
      </c>
      <c r="P32" s="12">
        <v>0.0</v>
      </c>
      <c r="Q32" s="12">
        <v>6042.84</v>
      </c>
      <c r="R32" s="11">
        <v>46320.0</v>
      </c>
      <c r="S32" s="9">
        <v>0.0</v>
      </c>
      <c r="T32" s="9" t="s">
        <v>188</v>
      </c>
      <c r="U32" s="9" t="s">
        <v>56</v>
      </c>
      <c r="V32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('KM-L-0031', 'KB-10031', 'Seabelo', 'Oagile', '+267 71 799 057', '6306', 'Mogoditshane', 'Lorato Keakile', 'Salary Advance', '2026-09-01', 6000, 7, 1007.14, 1, 0, 0, 6042.84, '2026-10-25', 0, 'Current', 'No');</v>
      </c>
    </row>
    <row r="33" ht="15.75" customHeight="1">
      <c r="A33" s="9" t="s">
        <v>245</v>
      </c>
      <c r="B33" s="9" t="s">
        <v>526</v>
      </c>
      <c r="C33" s="9" t="s">
        <v>527</v>
      </c>
      <c r="D33" s="9" t="s">
        <v>528</v>
      </c>
      <c r="E33" s="9" t="s">
        <v>529</v>
      </c>
      <c r="F33" s="10" t="s">
        <v>530</v>
      </c>
      <c r="G33" s="9" t="s">
        <v>135</v>
      </c>
      <c r="H33" s="9" t="s">
        <v>137</v>
      </c>
      <c r="I33" s="9" t="s">
        <v>139</v>
      </c>
      <c r="J33" s="11">
        <v>46232.0</v>
      </c>
      <c r="K33" s="12">
        <v>17000.0</v>
      </c>
      <c r="L33" s="9">
        <v>12.0</v>
      </c>
      <c r="M33" s="12">
        <v>1841.67</v>
      </c>
      <c r="N33" s="9">
        <v>0.0</v>
      </c>
      <c r="O33" s="12">
        <v>3683.34</v>
      </c>
      <c r="P33" s="12">
        <v>92.08</v>
      </c>
      <c r="Q33" s="12">
        <v>22192.12</v>
      </c>
      <c r="R33" s="11">
        <v>46259.0</v>
      </c>
      <c r="S33" s="9">
        <v>36.0</v>
      </c>
      <c r="T33" s="9" t="s">
        <v>55</v>
      </c>
      <c r="U33" s="9" t="s">
        <v>56</v>
      </c>
      <c r="V3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('KM-L-0032', 'KB-10032', 'Naledi', 'Sechele', '+267 71 240 562', '2536', 'Francistown', 'Olebile Moatlhodi', 'Salary Advance', '2026-07-29', 17000, 12, 1841.67, 0, 3683.34, 92.08, 22192.12, '2026-08-25', 36, 'In arrears', 'No');</v>
      </c>
    </row>
    <row r="34" ht="15.75" customHeight="1">
      <c r="A34" s="9" t="s">
        <v>475</v>
      </c>
      <c r="B34" s="9" t="s">
        <v>531</v>
      </c>
      <c r="C34" s="9" t="s">
        <v>532</v>
      </c>
      <c r="D34" s="9" t="s">
        <v>533</v>
      </c>
      <c r="E34" s="9" t="s">
        <v>534</v>
      </c>
      <c r="F34" s="10" t="s">
        <v>535</v>
      </c>
      <c r="G34" s="9" t="s">
        <v>44</v>
      </c>
      <c r="H34" s="9" t="s">
        <v>323</v>
      </c>
      <c r="I34" s="9" t="s">
        <v>139</v>
      </c>
      <c r="J34" s="11">
        <v>46260.0</v>
      </c>
      <c r="K34" s="12">
        <v>8000.0</v>
      </c>
      <c r="L34" s="9">
        <v>7.0</v>
      </c>
      <c r="M34" s="12">
        <v>1342.86</v>
      </c>
      <c r="N34" s="9">
        <v>0.0</v>
      </c>
      <c r="O34" s="12">
        <v>1342.86</v>
      </c>
      <c r="P34" s="12">
        <v>0.0</v>
      </c>
      <c r="Q34" s="12">
        <v>9400.02</v>
      </c>
      <c r="R34" s="11">
        <v>46290.0</v>
      </c>
      <c r="S34" s="9">
        <v>5.0</v>
      </c>
      <c r="T34" s="9" t="s">
        <v>55</v>
      </c>
      <c r="U34" s="9" t="s">
        <v>56</v>
      </c>
      <c r="V3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('KM-L-0033', 'KB-10033', 'Resego', 'Baitshepi', '26776979980', '2584', 'Gaborone Main Mall', 'Tshiamo Ntsima', 'Salary Advance', '2026-08-26', 8000, 7, 1342.86, 0, 1342.86, 0, 9400.02, '2026-09-25', 5, 'In arrears', 'No');</v>
      </c>
    </row>
    <row r="35" ht="15.75" customHeight="1">
      <c r="A35" s="9" t="s">
        <v>340</v>
      </c>
      <c r="B35" s="9" t="s">
        <v>536</v>
      </c>
      <c r="C35" s="9" t="s">
        <v>434</v>
      </c>
      <c r="D35" s="9" t="s">
        <v>453</v>
      </c>
      <c r="E35" s="9" t="s">
        <v>537</v>
      </c>
      <c r="F35" s="10" t="s">
        <v>538</v>
      </c>
      <c r="G35" s="9" t="s">
        <v>374</v>
      </c>
      <c r="H35" s="9" t="s">
        <v>376</v>
      </c>
      <c r="I35" s="9" t="s">
        <v>139</v>
      </c>
      <c r="J35" s="11">
        <v>46209.0</v>
      </c>
      <c r="K35" s="12">
        <v>3000.0</v>
      </c>
      <c r="L35" s="9">
        <v>7.0</v>
      </c>
      <c r="M35" s="12">
        <v>503.57</v>
      </c>
      <c r="N35" s="9">
        <v>1.0</v>
      </c>
      <c r="O35" s="12">
        <v>1007.14</v>
      </c>
      <c r="P35" s="12">
        <v>25.18</v>
      </c>
      <c r="Q35" s="12">
        <v>3046.6</v>
      </c>
      <c r="R35" s="11">
        <v>46259.0</v>
      </c>
      <c r="S35" s="9">
        <v>36.0</v>
      </c>
      <c r="T35" s="9" t="s">
        <v>55</v>
      </c>
      <c r="U35" s="9" t="s">
        <v>56</v>
      </c>
      <c r="V3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('KM-L-0034', 'KB-10034', 'Tsholofelo', 'Tau', '+267 75 547 936', '8744', 'Mogoditshane', 'Lorato Keakile', 'Salary Advance', '2026-07-06', 3000, 7, 503.57, 1, 1007.14, 25.18, 3046.6, '2026-08-25', 36, 'In arrears', 'No');</v>
      </c>
    </row>
    <row r="36" ht="15.75" customHeight="1">
      <c r="A36" s="9" t="s">
        <v>302</v>
      </c>
      <c r="B36" s="9" t="s">
        <v>539</v>
      </c>
      <c r="C36" s="9" t="s">
        <v>421</v>
      </c>
      <c r="D36" s="9" t="s">
        <v>471</v>
      </c>
      <c r="E36" s="9" t="s">
        <v>540</v>
      </c>
      <c r="F36" s="10" t="s">
        <v>541</v>
      </c>
      <c r="G36" s="9" t="s">
        <v>135</v>
      </c>
      <c r="H36" s="9" t="s">
        <v>137</v>
      </c>
      <c r="I36" s="9" t="s">
        <v>139</v>
      </c>
      <c r="J36" s="11">
        <v>46053.0</v>
      </c>
      <c r="K36" s="12">
        <v>1500.0</v>
      </c>
      <c r="L36" s="9">
        <v>11.0</v>
      </c>
      <c r="M36" s="12">
        <v>173.86</v>
      </c>
      <c r="N36" s="9">
        <v>8.0</v>
      </c>
      <c r="O36" s="12">
        <v>0.0</v>
      </c>
      <c r="P36" s="12">
        <v>0.0</v>
      </c>
      <c r="Q36" s="12">
        <v>521.58</v>
      </c>
      <c r="R36" s="11">
        <v>46320.0</v>
      </c>
      <c r="S36" s="9">
        <v>0.0</v>
      </c>
      <c r="T36" s="9" t="s">
        <v>188</v>
      </c>
      <c r="U36" s="9" t="s">
        <v>56</v>
      </c>
      <c r="V3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('KM-L-0035', 'KB-10035', 'Tlotlo', 'Dikgang', '+267 75 474 283', '0879', 'Francistown', 'Olebile Moatlhodi', 'Salary Advance', '2026-01-31', 1500, 11, 173.86, 8, 0, 0, 521.58, '2026-10-25', 0, 'Current', 'No');</v>
      </c>
    </row>
    <row r="37" ht="15.75" customHeight="1">
      <c r="A37" s="9" t="s">
        <v>542</v>
      </c>
      <c r="B37" s="9" t="s">
        <v>543</v>
      </c>
      <c r="C37" s="9" t="s">
        <v>371</v>
      </c>
      <c r="D37" s="9" t="s">
        <v>544</v>
      </c>
      <c r="E37" s="9" t="s">
        <v>545</v>
      </c>
      <c r="F37" s="10" t="s">
        <v>546</v>
      </c>
      <c r="G37" s="9" t="s">
        <v>44</v>
      </c>
      <c r="H37" s="9" t="s">
        <v>323</v>
      </c>
      <c r="I37" s="9" t="s">
        <v>213</v>
      </c>
      <c r="J37" s="11">
        <v>46221.0</v>
      </c>
      <c r="K37" s="12">
        <v>6000.0</v>
      </c>
      <c r="L37" s="9">
        <v>6.0</v>
      </c>
      <c r="M37" s="12">
        <v>1105.0</v>
      </c>
      <c r="N37" s="9">
        <v>2.0</v>
      </c>
      <c r="O37" s="12">
        <v>0.0</v>
      </c>
      <c r="P37" s="12">
        <v>0.0</v>
      </c>
      <c r="Q37" s="12">
        <v>4420.0</v>
      </c>
      <c r="R37" s="11">
        <v>46310.0</v>
      </c>
      <c r="S37" s="9">
        <v>0.0</v>
      </c>
      <c r="T37" s="9" t="s">
        <v>188</v>
      </c>
      <c r="U37" s="9" t="s">
        <v>56</v>
      </c>
      <c r="V3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('KM-L-0036', 'KB-10036', 'Kagiso', 'Pule', '+267 76 120 938', '2290', 'Gaborone Main Mall', 'Tshiamo Ntsima', 'School Fees Loan', '2026-07-18', 6000, 6, 1105, 2, 0, 0, 4420, '2026-10-15', 0, 'Current', 'No');</v>
      </c>
    </row>
    <row r="38" ht="15.75" customHeight="1">
      <c r="A38" s="9" t="s">
        <v>547</v>
      </c>
      <c r="B38" s="9" t="s">
        <v>548</v>
      </c>
      <c r="C38" s="9" t="s">
        <v>532</v>
      </c>
      <c r="D38" s="9" t="s">
        <v>549</v>
      </c>
      <c r="E38" s="9" t="s">
        <v>550</v>
      </c>
      <c r="F38" s="10" t="s">
        <v>551</v>
      </c>
      <c r="G38" s="9" t="s">
        <v>374</v>
      </c>
      <c r="H38" s="9" t="s">
        <v>376</v>
      </c>
      <c r="I38" s="9" t="s">
        <v>139</v>
      </c>
      <c r="J38" s="11">
        <v>46166.0</v>
      </c>
      <c r="K38" s="12">
        <v>20000.0</v>
      </c>
      <c r="L38" s="9">
        <v>5.0</v>
      </c>
      <c r="M38" s="12">
        <v>4500.0</v>
      </c>
      <c r="N38" s="9">
        <v>4.0</v>
      </c>
      <c r="O38" s="12">
        <v>0.0</v>
      </c>
      <c r="P38" s="12">
        <v>0.0</v>
      </c>
      <c r="Q38" s="12">
        <v>4500.0</v>
      </c>
      <c r="R38" s="11">
        <v>46320.0</v>
      </c>
      <c r="S38" s="9">
        <v>0.0</v>
      </c>
      <c r="T38" s="9" t="s">
        <v>188</v>
      </c>
      <c r="U38" s="9" t="s">
        <v>56</v>
      </c>
      <c r="V3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('KM-L-0037', 'KB-10037', 'Resego', 'Nthebolang', '26774620969', '6812', 'Mogoditshane', 'Lorato Keakile', 'Salary Advance', '2026-05-24', 20000, 5, 4500, 4, 0, 0, 4500, '2026-10-25', 0, 'Current', 'No');</v>
      </c>
    </row>
    <row r="39" ht="15.75" customHeight="1">
      <c r="A39" s="9" t="s">
        <v>552</v>
      </c>
      <c r="B39" s="9" t="s">
        <v>553</v>
      </c>
      <c r="C39" s="9" t="s">
        <v>554</v>
      </c>
      <c r="D39" s="9" t="s">
        <v>132</v>
      </c>
      <c r="E39" s="9" t="s">
        <v>555</v>
      </c>
      <c r="F39" s="10" t="s">
        <v>556</v>
      </c>
      <c r="G39" s="9" t="s">
        <v>210</v>
      </c>
      <c r="H39" s="9" t="s">
        <v>212</v>
      </c>
      <c r="I39" s="9" t="s">
        <v>139</v>
      </c>
      <c r="J39" s="11">
        <v>46259.0</v>
      </c>
      <c r="K39" s="12">
        <v>3500.0</v>
      </c>
      <c r="L39" s="9">
        <v>4.0</v>
      </c>
      <c r="M39" s="12">
        <v>962.5</v>
      </c>
      <c r="N39" s="9">
        <v>1.0</v>
      </c>
      <c r="O39" s="12">
        <v>0.0</v>
      </c>
      <c r="P39" s="12">
        <v>0.0</v>
      </c>
      <c r="Q39" s="12">
        <v>2887.5</v>
      </c>
      <c r="R39" s="11">
        <v>46320.0</v>
      </c>
      <c r="S39" s="9">
        <v>0.0</v>
      </c>
      <c r="T39" s="9" t="s">
        <v>188</v>
      </c>
      <c r="U39" s="9" t="s">
        <v>56</v>
      </c>
      <c r="V3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('KM-L-0038', 'KB-10038', 'Itumeleng', 'Rakgomo', '+267 74 419 523', '6322', 'Tlokweng', 'Bame Mokone', 'Salary Advance', '2026-08-25', 3500, 4, 962.5, 1, 0, 0, 2887.5, '2026-10-25', 0, 'Current', 'No');</v>
      </c>
    </row>
    <row r="40" ht="15.75" customHeight="1">
      <c r="A40" s="9" t="s">
        <v>375</v>
      </c>
      <c r="B40" s="9" t="s">
        <v>557</v>
      </c>
      <c r="C40" s="9" t="s">
        <v>558</v>
      </c>
      <c r="D40" s="9" t="s">
        <v>528</v>
      </c>
      <c r="E40" s="9" t="s">
        <v>559</v>
      </c>
      <c r="F40" s="10" t="s">
        <v>560</v>
      </c>
      <c r="G40" s="9" t="s">
        <v>135</v>
      </c>
      <c r="H40" s="9" t="s">
        <v>137</v>
      </c>
      <c r="I40" s="9" t="s">
        <v>213</v>
      </c>
      <c r="J40" s="11">
        <v>46184.0</v>
      </c>
      <c r="K40" s="12">
        <v>22500.0</v>
      </c>
      <c r="L40" s="9">
        <v>11.0</v>
      </c>
      <c r="M40" s="12">
        <v>2439.2</v>
      </c>
      <c r="N40" s="9">
        <v>1.0</v>
      </c>
      <c r="O40" s="12">
        <v>4878.4</v>
      </c>
      <c r="P40" s="12">
        <v>243.92</v>
      </c>
      <c r="Q40" s="12">
        <v>24635.92</v>
      </c>
      <c r="R40" s="11">
        <v>46249.0</v>
      </c>
      <c r="S40" s="9">
        <v>46.0</v>
      </c>
      <c r="T40" s="9" t="s">
        <v>55</v>
      </c>
      <c r="U40" s="9" t="s">
        <v>56</v>
      </c>
      <c r="V4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('KM-L-0039', 'KB-10039', 'Katlego', 'Sechele', '26776182292', '8240', 'Francistown', 'Olebile Moatlhodi', 'School Fees Loan', '2026-06-11', 22500, 11, 2439.2, 1, 4878.4, 243.92, 24635.92, '2026-08-15', 46, 'In arrears', 'No');</v>
      </c>
    </row>
    <row r="41" ht="15.75" customHeight="1">
      <c r="A41" s="9" t="s">
        <v>561</v>
      </c>
      <c r="B41" s="9" t="s">
        <v>562</v>
      </c>
      <c r="C41" s="9" t="s">
        <v>71</v>
      </c>
      <c r="D41" s="9" t="s">
        <v>423</v>
      </c>
      <c r="E41" s="9" t="s">
        <v>563</v>
      </c>
      <c r="F41" s="10" t="s">
        <v>564</v>
      </c>
      <c r="G41" s="9" t="s">
        <v>44</v>
      </c>
      <c r="H41" s="9" t="s">
        <v>323</v>
      </c>
      <c r="I41" s="9" t="s">
        <v>47</v>
      </c>
      <c r="J41" s="11">
        <v>46190.0</v>
      </c>
      <c r="K41" s="12">
        <v>9500.0</v>
      </c>
      <c r="L41" s="9">
        <v>15.0</v>
      </c>
      <c r="M41" s="12">
        <v>823.33</v>
      </c>
      <c r="N41" s="9">
        <v>3.0</v>
      </c>
      <c r="O41" s="12">
        <v>0.0</v>
      </c>
      <c r="P41" s="12">
        <v>0.0</v>
      </c>
      <c r="Q41" s="12">
        <v>9879.96</v>
      </c>
      <c r="R41" s="11">
        <v>46305.0</v>
      </c>
      <c r="S41" s="9">
        <v>0.0</v>
      </c>
      <c r="T41" s="9" t="s">
        <v>457</v>
      </c>
      <c r="U41" s="9" t="s">
        <v>458</v>
      </c>
      <c r="V4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('KM-L-0040', 'KB-10040', 'Lorato', 'Molefe', '26777751095', '2846', 'Gaborone Main Mall', 'Tshiamo Ntsima', 'Small Business Loan', '2026-06-17', 9500, 15, 823.33, 3, 0, 0, 9879.96, '2026-10-10', 0, 'Restructured', 'Yes');</v>
      </c>
    </row>
    <row r="42" ht="15.75" customHeight="1">
      <c r="A42" s="9" t="s">
        <v>430</v>
      </c>
      <c r="B42" s="9" t="s">
        <v>565</v>
      </c>
      <c r="C42" s="9" t="s">
        <v>203</v>
      </c>
      <c r="D42" s="9" t="s">
        <v>132</v>
      </c>
      <c r="E42" s="9" t="s">
        <v>566</v>
      </c>
      <c r="F42" s="10" t="s">
        <v>567</v>
      </c>
      <c r="G42" s="9" t="s">
        <v>135</v>
      </c>
      <c r="H42" s="9" t="s">
        <v>137</v>
      </c>
      <c r="I42" s="9" t="s">
        <v>139</v>
      </c>
      <c r="J42" s="11">
        <v>46017.0</v>
      </c>
      <c r="K42" s="12">
        <v>16500.0</v>
      </c>
      <c r="L42" s="9">
        <v>10.0</v>
      </c>
      <c r="M42" s="12">
        <v>2062.5</v>
      </c>
      <c r="N42" s="9">
        <v>8.0</v>
      </c>
      <c r="O42" s="12">
        <v>2062.5</v>
      </c>
      <c r="P42" s="12">
        <v>0.0</v>
      </c>
      <c r="Q42" s="12">
        <v>4125.0</v>
      </c>
      <c r="R42" s="11">
        <v>46290.0</v>
      </c>
      <c r="S42" s="9">
        <v>5.0</v>
      </c>
      <c r="T42" s="9" t="s">
        <v>55</v>
      </c>
      <c r="U42" s="9" t="s">
        <v>56</v>
      </c>
      <c r="V42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('KM-L-0041', 'KB-10041', 'Refilwe', 'Rakgomo', '+267 74 159 405', '6698', 'Francistown', 'Olebile Moatlhodi', 'Salary Advance', '2025-12-26', 16500, 10, 2062.5, 8, 2062.5, 0, 4125, '2026-09-25', 5, 'In arrears', 'No');</v>
      </c>
    </row>
    <row r="43" ht="15.75" customHeight="1">
      <c r="A43" s="9" t="s">
        <v>69</v>
      </c>
      <c r="B43" s="9" t="s">
        <v>568</v>
      </c>
      <c r="C43" s="9" t="s">
        <v>503</v>
      </c>
      <c r="D43" s="9" t="s">
        <v>544</v>
      </c>
      <c r="E43" s="9" t="s">
        <v>569</v>
      </c>
      <c r="F43" s="10" t="s">
        <v>570</v>
      </c>
      <c r="G43" s="9" t="s">
        <v>374</v>
      </c>
      <c r="H43" s="9" t="s">
        <v>376</v>
      </c>
      <c r="I43" s="9" t="s">
        <v>47</v>
      </c>
      <c r="J43" s="11">
        <v>46120.0</v>
      </c>
      <c r="K43" s="12">
        <v>20000.0</v>
      </c>
      <c r="L43" s="9">
        <v>12.0</v>
      </c>
      <c r="M43" s="12">
        <v>2066.67</v>
      </c>
      <c r="N43" s="9">
        <v>3.0</v>
      </c>
      <c r="O43" s="12">
        <v>4133.34</v>
      </c>
      <c r="P43" s="12">
        <v>206.67</v>
      </c>
      <c r="Q43" s="12">
        <v>18806.7</v>
      </c>
      <c r="R43" s="11">
        <v>46244.0</v>
      </c>
      <c r="S43" s="9">
        <v>51.0</v>
      </c>
      <c r="T43" s="9" t="s">
        <v>55</v>
      </c>
      <c r="U43" s="9" t="s">
        <v>56</v>
      </c>
      <c r="V4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('KM-L-0042', 'KB-10042', 'Tshepo', 'Pule', '26771844207', '5518', 'Mogoditshane', 'Lorato Keakile', 'Small Business Loan', '2026-04-08', 20000, 12, 2066.67, 3, 4133.34, 206.67, 18806.7, '2026-08-10', 51, 'In arrears', 'No');</v>
      </c>
    </row>
    <row r="44" ht="15.75" customHeight="1">
      <c r="A44" s="9" t="s">
        <v>156</v>
      </c>
      <c r="B44" s="9" t="s">
        <v>571</v>
      </c>
      <c r="C44" s="9" t="s">
        <v>572</v>
      </c>
      <c r="D44" s="9" t="s">
        <v>573</v>
      </c>
      <c r="E44" s="9" t="s">
        <v>574</v>
      </c>
      <c r="F44" s="10" t="s">
        <v>575</v>
      </c>
      <c r="G44" s="9" t="s">
        <v>44</v>
      </c>
      <c r="H44" s="9" t="s">
        <v>45</v>
      </c>
      <c r="I44" s="9" t="s">
        <v>139</v>
      </c>
      <c r="J44" s="11">
        <v>46166.0</v>
      </c>
      <c r="K44" s="12">
        <v>8500.0</v>
      </c>
      <c r="L44" s="9">
        <v>9.0</v>
      </c>
      <c r="M44" s="12">
        <v>1156.94</v>
      </c>
      <c r="N44" s="9">
        <v>4.0</v>
      </c>
      <c r="O44" s="12">
        <v>0.0</v>
      </c>
      <c r="P44" s="12">
        <v>0.0</v>
      </c>
      <c r="Q44" s="12">
        <v>5784.7</v>
      </c>
      <c r="R44" s="11">
        <v>46320.0</v>
      </c>
      <c r="S44" s="9">
        <v>0.0</v>
      </c>
      <c r="T44" s="9" t="s">
        <v>188</v>
      </c>
      <c r="U44" s="9" t="s">
        <v>56</v>
      </c>
      <c r="V4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('KM-L-0043', 'KB-10043', 'Keitumetse', 'Segokgo', '72862120', '3312', 'Gaborone Main Mall', 'Mmoloki Sebina', 'Salary Advance', '2026-05-24', 8500, 9, 1156.94, 4, 0, 0, 5784.7, '2026-10-25', 0, 'Current', 'No');</v>
      </c>
    </row>
    <row r="45" ht="15.75" customHeight="1">
      <c r="A45" s="9" t="s">
        <v>138</v>
      </c>
      <c r="B45" s="9" t="s">
        <v>576</v>
      </c>
      <c r="C45" s="9" t="s">
        <v>462</v>
      </c>
      <c r="D45" s="9" t="s">
        <v>344</v>
      </c>
      <c r="E45" s="9" t="s">
        <v>577</v>
      </c>
      <c r="F45" s="10" t="s">
        <v>578</v>
      </c>
      <c r="G45" s="9" t="s">
        <v>210</v>
      </c>
      <c r="H45" s="9" t="s">
        <v>212</v>
      </c>
      <c r="I45" s="9" t="s">
        <v>139</v>
      </c>
      <c r="J45" s="11">
        <v>46086.0</v>
      </c>
      <c r="K45" s="12">
        <v>12000.0</v>
      </c>
      <c r="L45" s="9">
        <v>12.0</v>
      </c>
      <c r="M45" s="12">
        <v>1300.0</v>
      </c>
      <c r="N45" s="9">
        <v>5.0</v>
      </c>
      <c r="O45" s="12">
        <v>2600.0</v>
      </c>
      <c r="P45" s="12">
        <v>65.0</v>
      </c>
      <c r="Q45" s="12">
        <v>9165.0</v>
      </c>
      <c r="R45" s="11">
        <v>46259.0</v>
      </c>
      <c r="S45" s="9">
        <v>36.0</v>
      </c>
      <c r="T45" s="9" t="s">
        <v>55</v>
      </c>
      <c r="U45" s="9" t="s">
        <v>56</v>
      </c>
      <c r="V4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('KM-L-0044', 'KB-10044', 'Lesego', 'Kgathi', '+267 71 736 523', '8933', 'Tlokweng', 'Bame Mokone', 'Salary Advance', '2026-03-05', 12000, 12, 1300, 5, 2600, 65, 9165, '2026-08-25', 36, 'In arrears', 'No');</v>
      </c>
    </row>
    <row r="46" ht="15.75" customHeight="1">
      <c r="A46" s="9" t="s">
        <v>191</v>
      </c>
      <c r="B46" s="9" t="s">
        <v>579</v>
      </c>
      <c r="C46" s="9" t="s">
        <v>527</v>
      </c>
      <c r="D46" s="9" t="s">
        <v>573</v>
      </c>
      <c r="E46" s="9" t="s">
        <v>580</v>
      </c>
      <c r="F46" s="10" t="s">
        <v>581</v>
      </c>
      <c r="G46" s="9" t="s">
        <v>44</v>
      </c>
      <c r="H46" s="9" t="s">
        <v>323</v>
      </c>
      <c r="I46" s="9" t="s">
        <v>139</v>
      </c>
      <c r="J46" s="11">
        <v>46206.0</v>
      </c>
      <c r="K46" s="12">
        <v>9000.0</v>
      </c>
      <c r="L46" s="9">
        <v>4.0</v>
      </c>
      <c r="M46" s="12">
        <v>2475.0</v>
      </c>
      <c r="N46" s="9">
        <v>0.0</v>
      </c>
      <c r="O46" s="12">
        <v>7425.0</v>
      </c>
      <c r="P46" s="12">
        <v>247.5</v>
      </c>
      <c r="Q46" s="12">
        <v>10147.5</v>
      </c>
      <c r="R46" s="11">
        <v>46228.0</v>
      </c>
      <c r="S46" s="9">
        <v>67.0</v>
      </c>
      <c r="T46" s="9" t="s">
        <v>55</v>
      </c>
      <c r="U46" s="9" t="s">
        <v>56</v>
      </c>
      <c r="V4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('KM-L-0045', 'KB-10045', 'Naledi', 'Segokgo', '26777562141', '1899', 'Gaborone Main Mall', 'Tshiamo Ntsima', 'Salary Advance', '2026-07-03', 9000, 4, 2475, 0, 7425, 247.5, 10147.5, '2026-07-25', 67, 'In arrears', 'No');</v>
      </c>
    </row>
    <row r="47" ht="15.75" customHeight="1">
      <c r="A47" s="9" t="s">
        <v>110</v>
      </c>
      <c r="B47" s="9" t="s">
        <v>582</v>
      </c>
      <c r="C47" s="9" t="s">
        <v>572</v>
      </c>
      <c r="D47" s="9" t="s">
        <v>549</v>
      </c>
      <c r="E47" s="9" t="s">
        <v>583</v>
      </c>
      <c r="F47" s="10" t="s">
        <v>584</v>
      </c>
      <c r="G47" s="9" t="s">
        <v>135</v>
      </c>
      <c r="H47" s="9" t="s">
        <v>137</v>
      </c>
      <c r="I47" s="9" t="s">
        <v>47</v>
      </c>
      <c r="J47" s="11">
        <v>46131.0</v>
      </c>
      <c r="K47" s="12">
        <v>35000.0</v>
      </c>
      <c r="L47" s="9">
        <v>22.0</v>
      </c>
      <c r="M47" s="12">
        <v>2290.91</v>
      </c>
      <c r="N47" s="9">
        <v>5.0</v>
      </c>
      <c r="O47" s="12">
        <v>0.0</v>
      </c>
      <c r="P47" s="12">
        <v>0.0</v>
      </c>
      <c r="Q47" s="12">
        <v>38945.47</v>
      </c>
      <c r="R47" s="11">
        <v>46305.0</v>
      </c>
      <c r="S47" s="9">
        <v>0.0</v>
      </c>
      <c r="T47" s="9" t="s">
        <v>188</v>
      </c>
      <c r="U47" s="9" t="s">
        <v>56</v>
      </c>
      <c r="V4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('KM-L-0046', 'KB-10046', 'Keitumetse', 'Nthebolang', '+267 71 819 801', '0832', 'Francistown', 'Olebile Moatlhodi', 'Small Business Loan', '2026-04-19', 35000, 22, 2290.91, 5, 0, 0, 38945.47, '2026-10-10', 0, 'Current', 'No');</v>
      </c>
    </row>
    <row r="48" ht="15.75" customHeight="1">
      <c r="A48" s="9" t="s">
        <v>585</v>
      </c>
      <c r="B48" s="9" t="s">
        <v>586</v>
      </c>
      <c r="C48" s="9" t="s">
        <v>554</v>
      </c>
      <c r="D48" s="9" t="s">
        <v>488</v>
      </c>
      <c r="E48" s="9" t="s">
        <v>587</v>
      </c>
      <c r="F48" s="10" t="s">
        <v>588</v>
      </c>
      <c r="G48" s="9" t="s">
        <v>210</v>
      </c>
      <c r="H48" s="9" t="s">
        <v>212</v>
      </c>
      <c r="I48" s="9" t="s">
        <v>213</v>
      </c>
      <c r="J48" s="11">
        <v>46228.0</v>
      </c>
      <c r="K48" s="12">
        <v>19000.0</v>
      </c>
      <c r="L48" s="9">
        <v>5.0</v>
      </c>
      <c r="M48" s="12">
        <v>4132.5</v>
      </c>
      <c r="N48" s="9">
        <v>2.0</v>
      </c>
      <c r="O48" s="12">
        <v>0.0</v>
      </c>
      <c r="P48" s="12">
        <v>0.0</v>
      </c>
      <c r="Q48" s="12">
        <v>12397.5</v>
      </c>
      <c r="R48" s="11">
        <v>46310.0</v>
      </c>
      <c r="S48" s="9">
        <v>0.0</v>
      </c>
      <c r="T48" s="9" t="s">
        <v>188</v>
      </c>
      <c r="U48" s="9" t="s">
        <v>56</v>
      </c>
      <c r="V4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('KM-L-0047', 'KB-10047', 'Itumeleng', 'Ntshole', '+267 77 010 675', '7684', 'Tlokweng', 'Bame Mokone', 'School Fees Loan', '2026-07-25', 19000, 5, 4132.5, 2, 0, 0, 12397.5, '2026-10-15', 0, 'Current', 'No');</v>
      </c>
    </row>
    <row r="49" ht="15.75" customHeight="1">
      <c r="A49" s="9" t="s">
        <v>589</v>
      </c>
      <c r="B49" s="9" t="s">
        <v>590</v>
      </c>
      <c r="C49" s="9" t="s">
        <v>353</v>
      </c>
      <c r="D49" s="9" t="s">
        <v>518</v>
      </c>
      <c r="E49" s="9" t="s">
        <v>591</v>
      </c>
      <c r="F49" s="10" t="s">
        <v>592</v>
      </c>
      <c r="G49" s="9" t="s">
        <v>374</v>
      </c>
      <c r="H49" s="9" t="s">
        <v>376</v>
      </c>
      <c r="I49" s="9" t="s">
        <v>213</v>
      </c>
      <c r="J49" s="11">
        <v>45948.0</v>
      </c>
      <c r="K49" s="12">
        <v>4500.0</v>
      </c>
      <c r="L49" s="9">
        <v>12.0</v>
      </c>
      <c r="M49" s="12">
        <v>453.75</v>
      </c>
      <c r="N49" s="9">
        <v>11.0</v>
      </c>
      <c r="O49" s="12">
        <v>0.0</v>
      </c>
      <c r="P49" s="12">
        <v>0.0</v>
      </c>
      <c r="Q49" s="12">
        <v>453.75</v>
      </c>
      <c r="R49" s="11">
        <v>46310.0</v>
      </c>
      <c r="S49" s="9">
        <v>0.0</v>
      </c>
      <c r="T49" s="9" t="s">
        <v>188</v>
      </c>
      <c r="U49" s="9" t="s">
        <v>56</v>
      </c>
      <c r="V4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('KM-L-0048', 'KB-10048', 'Bakang', 'Seleka', '26777111456', '8879', 'Mogoditshane', 'Lorato Keakile', 'School Fees Loan', '2025-10-18', 4500, 12, 453.75, 11, 0, 0, 453.75, '2026-10-15', 0, 'Current', 'No');</v>
      </c>
    </row>
    <row r="50" ht="15.75" customHeight="1">
      <c r="A50" s="9" t="s">
        <v>365</v>
      </c>
      <c r="B50" s="9" t="s">
        <v>593</v>
      </c>
      <c r="C50" s="9" t="s">
        <v>594</v>
      </c>
      <c r="D50" s="9" t="s">
        <v>463</v>
      </c>
      <c r="E50" s="9" t="s">
        <v>595</v>
      </c>
      <c r="F50" s="10" t="s">
        <v>596</v>
      </c>
      <c r="G50" s="9" t="s">
        <v>210</v>
      </c>
      <c r="H50" s="9" t="s">
        <v>212</v>
      </c>
      <c r="I50" s="9" t="s">
        <v>139</v>
      </c>
      <c r="J50" s="11">
        <v>46268.0</v>
      </c>
      <c r="K50" s="12">
        <v>18000.0</v>
      </c>
      <c r="L50" s="9">
        <v>4.0</v>
      </c>
      <c r="M50" s="12">
        <v>4950.0</v>
      </c>
      <c r="N50" s="9">
        <v>1.0</v>
      </c>
      <c r="O50" s="12">
        <v>0.0</v>
      </c>
      <c r="P50" s="12">
        <v>0.0</v>
      </c>
      <c r="Q50" s="12">
        <v>14850.0</v>
      </c>
      <c r="R50" s="11">
        <v>46320.0</v>
      </c>
      <c r="S50" s="9">
        <v>0.0</v>
      </c>
      <c r="T50" s="9" t="s">
        <v>188</v>
      </c>
      <c r="U50" s="9" t="s">
        <v>56</v>
      </c>
      <c r="V5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('KM-L-0049', 'KB-10049', 'Mompati', 'Oagile', '26773879827', '4453', 'Tlokweng', 'Bame Mokone', 'Salary Advance', '2026-09-03', 18000, 4, 4950, 1, 0, 0, 14850, '2026-10-25', 0, 'Current', 'No');</v>
      </c>
    </row>
    <row r="51" ht="15.75" customHeight="1">
      <c r="A51" s="9" t="s">
        <v>597</v>
      </c>
      <c r="B51" s="9" t="s">
        <v>598</v>
      </c>
      <c r="C51" s="9" t="s">
        <v>38</v>
      </c>
      <c r="D51" s="9" t="s">
        <v>267</v>
      </c>
      <c r="E51" s="9" t="s">
        <v>599</v>
      </c>
      <c r="F51" s="10" t="s">
        <v>600</v>
      </c>
      <c r="G51" s="9" t="s">
        <v>374</v>
      </c>
      <c r="H51" s="9" t="s">
        <v>376</v>
      </c>
      <c r="I51" s="9" t="s">
        <v>139</v>
      </c>
      <c r="J51" s="11">
        <v>46258.0</v>
      </c>
      <c r="K51" s="12">
        <v>17000.0</v>
      </c>
      <c r="L51" s="9">
        <v>12.0</v>
      </c>
      <c r="M51" s="12">
        <v>1841.67</v>
      </c>
      <c r="N51" s="9">
        <v>1.0</v>
      </c>
      <c r="O51" s="12">
        <v>0.0</v>
      </c>
      <c r="P51" s="12">
        <v>0.0</v>
      </c>
      <c r="Q51" s="12">
        <v>20258.37</v>
      </c>
      <c r="R51" s="11">
        <v>46320.0</v>
      </c>
      <c r="S51" s="9">
        <v>0.0</v>
      </c>
      <c r="T51" s="9" t="s">
        <v>188</v>
      </c>
      <c r="U51" s="9" t="s">
        <v>56</v>
      </c>
      <c r="V5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('KM-L-0050', 'KB-10050', 'Amantle', 'Mabote', '+267 75 050 999', '8373', 'Mogoditshane', 'Lorato Keakile', 'Salary Advance', '2026-08-24', 17000, 12, 1841.67, 1, 0, 0, 20258.37, '2026-10-25', 0, 'Current', 'No');</v>
      </c>
    </row>
    <row r="52" ht="15.75" customHeight="1">
      <c r="A52" s="9" t="s">
        <v>601</v>
      </c>
      <c r="B52" s="9" t="s">
        <v>602</v>
      </c>
      <c r="C52" s="9" t="s">
        <v>317</v>
      </c>
      <c r="D52" s="9" t="s">
        <v>488</v>
      </c>
      <c r="E52" s="9" t="s">
        <v>603</v>
      </c>
      <c r="F52" s="10" t="s">
        <v>604</v>
      </c>
      <c r="G52" s="9" t="s">
        <v>374</v>
      </c>
      <c r="H52" s="9" t="s">
        <v>376</v>
      </c>
      <c r="I52" s="9" t="s">
        <v>139</v>
      </c>
      <c r="J52" s="11">
        <v>45994.0</v>
      </c>
      <c r="K52" s="12">
        <v>7500.0</v>
      </c>
      <c r="L52" s="9">
        <v>12.0</v>
      </c>
      <c r="M52" s="12">
        <v>812.5</v>
      </c>
      <c r="N52" s="9">
        <v>10.0</v>
      </c>
      <c r="O52" s="12">
        <v>0.0</v>
      </c>
      <c r="P52" s="12">
        <v>0.0</v>
      </c>
      <c r="Q52" s="12">
        <v>1625.0</v>
      </c>
      <c r="R52" s="11">
        <v>46320.0</v>
      </c>
      <c r="S52" s="9">
        <v>0.0</v>
      </c>
      <c r="T52" s="9" t="s">
        <v>188</v>
      </c>
      <c r="U52" s="9" t="s">
        <v>56</v>
      </c>
      <c r="V52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('KM-L-0051', 'KB-10051', 'Phenyo', 'Ntshole', '+267 72 290 547', '9724', 'Mogoditshane', 'Lorato Keakile', 'Salary Advance', '2025-12-03', 7500, 12, 812.5, 10, 0, 0, 1625, '2026-10-25', 0, 'Current', 'No');</v>
      </c>
    </row>
    <row r="53" ht="15.75" customHeight="1">
      <c r="A53" s="9" t="s">
        <v>605</v>
      </c>
      <c r="B53" s="9" t="s">
        <v>606</v>
      </c>
      <c r="C53" s="9" t="s">
        <v>503</v>
      </c>
      <c r="D53" s="9" t="s">
        <v>488</v>
      </c>
      <c r="E53" s="9" t="s">
        <v>607</v>
      </c>
      <c r="F53" s="10" t="s">
        <v>608</v>
      </c>
      <c r="G53" s="9" t="s">
        <v>374</v>
      </c>
      <c r="H53" s="9" t="s">
        <v>376</v>
      </c>
      <c r="I53" s="9" t="s">
        <v>213</v>
      </c>
      <c r="J53" s="11">
        <v>46014.0</v>
      </c>
      <c r="K53" s="12">
        <v>22000.0</v>
      </c>
      <c r="L53" s="9">
        <v>11.0</v>
      </c>
      <c r="M53" s="12">
        <v>2385.0</v>
      </c>
      <c r="N53" s="9">
        <v>9.0</v>
      </c>
      <c r="O53" s="12">
        <v>0.0</v>
      </c>
      <c r="P53" s="12">
        <v>0.0</v>
      </c>
      <c r="Q53" s="12">
        <v>4770.0</v>
      </c>
      <c r="R53" s="11">
        <v>46310.0</v>
      </c>
      <c r="S53" s="9">
        <v>0.0</v>
      </c>
      <c r="T53" s="9" t="s">
        <v>188</v>
      </c>
      <c r="U53" s="9" t="s">
        <v>56</v>
      </c>
      <c r="V5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('KM-L-0052', 'KB-10052', 'Tshepo', 'Ntshole', '+267 72 066 059', '6567', 'Mogoditshane', 'Lorato Keakile', 'School Fees Loan', '2025-12-23', 22000, 11, 2385, 9, 0, 0, 4770, '2026-10-15', 0, 'Current', 'No');</v>
      </c>
    </row>
    <row r="54" ht="15.75" customHeight="1">
      <c r="A54" s="9" t="s">
        <v>609</v>
      </c>
      <c r="B54" s="9" t="s">
        <v>610</v>
      </c>
      <c r="C54" s="9" t="s">
        <v>492</v>
      </c>
      <c r="D54" s="9" t="s">
        <v>611</v>
      </c>
      <c r="E54" s="9" t="s">
        <v>612</v>
      </c>
      <c r="F54" s="10" t="s">
        <v>613</v>
      </c>
      <c r="G54" s="9" t="s">
        <v>44</v>
      </c>
      <c r="H54" s="9" t="s">
        <v>45</v>
      </c>
      <c r="I54" s="9" t="s">
        <v>47</v>
      </c>
      <c r="J54" s="11">
        <v>46030.0</v>
      </c>
      <c r="K54" s="12">
        <v>30000.0</v>
      </c>
      <c r="L54" s="9">
        <v>24.0</v>
      </c>
      <c r="M54" s="12">
        <v>1850.0</v>
      </c>
      <c r="N54" s="9">
        <v>8.0</v>
      </c>
      <c r="O54" s="12">
        <v>0.0</v>
      </c>
      <c r="P54" s="12">
        <v>0.0</v>
      </c>
      <c r="Q54" s="12">
        <v>29600.0</v>
      </c>
      <c r="R54" s="11">
        <v>46305.0</v>
      </c>
      <c r="S54" s="9">
        <v>0.0</v>
      </c>
      <c r="T54" s="9" t="s">
        <v>188</v>
      </c>
      <c r="U54" s="9" t="s">
        <v>56</v>
      </c>
      <c r="V5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('KM-L-0053', 'KB-10053', 'Kabelo', 'Ramotswa', '+267 75 331 460', '8804', 'Gaborone Main Mall', 'Mmoloki Sebina', 'Small Business Loan', '2026-01-08', 30000, 24, 1850, 8, 0, 0, 29600, '2026-10-10', 0, 'Current', 'No');</v>
      </c>
    </row>
    <row r="55" ht="15.75" customHeight="1">
      <c r="A55" s="9" t="s">
        <v>614</v>
      </c>
      <c r="B55" s="9" t="s">
        <v>615</v>
      </c>
      <c r="C55" s="9" t="s">
        <v>383</v>
      </c>
      <c r="D55" s="9" t="s">
        <v>39</v>
      </c>
      <c r="E55" s="9" t="s">
        <v>616</v>
      </c>
      <c r="F55" s="10" t="s">
        <v>617</v>
      </c>
      <c r="G55" s="9" t="s">
        <v>135</v>
      </c>
      <c r="H55" s="9" t="s">
        <v>137</v>
      </c>
      <c r="I55" s="9" t="s">
        <v>139</v>
      </c>
      <c r="J55" s="11">
        <v>45968.0</v>
      </c>
      <c r="K55" s="12">
        <v>14000.0</v>
      </c>
      <c r="L55" s="9">
        <v>12.0</v>
      </c>
      <c r="M55" s="12">
        <v>1516.67</v>
      </c>
      <c r="N55" s="9">
        <v>11.0</v>
      </c>
      <c r="O55" s="12">
        <v>0.0</v>
      </c>
      <c r="P55" s="12">
        <v>0.0</v>
      </c>
      <c r="Q55" s="12">
        <v>1516.67</v>
      </c>
      <c r="R55" s="11">
        <v>46320.0</v>
      </c>
      <c r="S55" s="9">
        <v>0.0</v>
      </c>
      <c r="T55" s="9" t="s">
        <v>188</v>
      </c>
      <c r="U55" s="9" t="s">
        <v>56</v>
      </c>
      <c r="V5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('KM-L-0054', 'KB-10054', 'Wame', 'Modise', '71914611', '6717', 'Francistown', 'Olebile Moatlhodi', 'Salary Advance', '2025-11-07', 14000, 12, 1516.67, 11, 0, 0, 1516.67, '2026-10-25', 0, 'Current', 'No');</v>
      </c>
    </row>
    <row r="56" ht="15.75" customHeight="1">
      <c r="A56" s="9" t="s">
        <v>466</v>
      </c>
      <c r="B56" s="9" t="s">
        <v>618</v>
      </c>
      <c r="C56" s="9" t="s">
        <v>434</v>
      </c>
      <c r="D56" s="9" t="s">
        <v>528</v>
      </c>
      <c r="E56" s="9" t="s">
        <v>619</v>
      </c>
      <c r="F56" s="10" t="s">
        <v>620</v>
      </c>
      <c r="G56" s="9" t="s">
        <v>210</v>
      </c>
      <c r="H56" s="9" t="s">
        <v>212</v>
      </c>
      <c r="I56" s="9" t="s">
        <v>213</v>
      </c>
      <c r="J56" s="11">
        <v>46162.0</v>
      </c>
      <c r="K56" s="12">
        <v>20500.0</v>
      </c>
      <c r="L56" s="9">
        <v>12.0</v>
      </c>
      <c r="M56" s="12">
        <v>2067.08</v>
      </c>
      <c r="N56" s="9">
        <v>3.0</v>
      </c>
      <c r="O56" s="12">
        <v>2067.08</v>
      </c>
      <c r="P56" s="12">
        <v>103.35</v>
      </c>
      <c r="Q56" s="12">
        <v>18707.07</v>
      </c>
      <c r="R56" s="11">
        <v>46280.0</v>
      </c>
      <c r="S56" s="9">
        <v>15.0</v>
      </c>
      <c r="T56" s="9" t="s">
        <v>55</v>
      </c>
      <c r="U56" s="9" t="s">
        <v>56</v>
      </c>
      <c r="V5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('KM-L-0055', 'KB-10055', 'Tsholofelo', 'Sechele', '26775197769', '4086', 'Tlokweng', 'Bame Mokone', 'School Fees Loan', '2026-05-20', 20500, 12, 2067.08, 3, 2067.08, 103.35, 18707.07, '2026-09-15', 15, 'In arrears', 'No');</v>
      </c>
    </row>
    <row r="57" ht="15.75" customHeight="1">
      <c r="A57" s="9" t="s">
        <v>621</v>
      </c>
      <c r="B57" s="9" t="s">
        <v>622</v>
      </c>
      <c r="C57" s="9" t="s">
        <v>623</v>
      </c>
      <c r="D57" s="9" t="s">
        <v>624</v>
      </c>
      <c r="E57" s="9" t="s">
        <v>625</v>
      </c>
      <c r="F57" s="10" t="s">
        <v>626</v>
      </c>
      <c r="G57" s="9" t="s">
        <v>210</v>
      </c>
      <c r="H57" s="9" t="s">
        <v>212</v>
      </c>
      <c r="I57" s="9" t="s">
        <v>139</v>
      </c>
      <c r="J57" s="11">
        <v>46083.0</v>
      </c>
      <c r="K57" s="12">
        <v>6000.0</v>
      </c>
      <c r="L57" s="9">
        <v>9.0</v>
      </c>
      <c r="M57" s="12">
        <v>816.67</v>
      </c>
      <c r="N57" s="9">
        <v>7.0</v>
      </c>
      <c r="O57" s="12">
        <v>0.0</v>
      </c>
      <c r="P57" s="12">
        <v>0.0</v>
      </c>
      <c r="Q57" s="12">
        <v>1633.34</v>
      </c>
      <c r="R57" s="11">
        <v>46320.0</v>
      </c>
      <c r="S57" s="9">
        <v>0.0</v>
      </c>
      <c r="T57" s="9" t="s">
        <v>188</v>
      </c>
      <c r="U57" s="9" t="s">
        <v>56</v>
      </c>
      <c r="V5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('KM-L-0056', 'KB-10056', 'Goitseone', 'Rapoo', '+267 76 895 240', '6412', 'Tlokweng', 'Bame Mokone', 'Salary Advance', '2026-03-02', 6000, 9, 816.67, 7, 0, 0, 1633.34, '2026-10-25', 0, 'Current', 'No');</v>
      </c>
    </row>
    <row r="58" ht="15.75" customHeight="1">
      <c r="A58" s="9" t="s">
        <v>627</v>
      </c>
      <c r="B58" s="9" t="s">
        <v>628</v>
      </c>
      <c r="C58" s="9" t="s">
        <v>629</v>
      </c>
      <c r="D58" s="9" t="s">
        <v>624</v>
      </c>
      <c r="E58" s="9" t="s">
        <v>630</v>
      </c>
      <c r="F58" s="10" t="s">
        <v>631</v>
      </c>
      <c r="G58" s="9" t="s">
        <v>135</v>
      </c>
      <c r="H58" s="9" t="s">
        <v>137</v>
      </c>
      <c r="I58" s="9" t="s">
        <v>213</v>
      </c>
      <c r="J58" s="11">
        <v>46262.0</v>
      </c>
      <c r="K58" s="12">
        <v>11500.0</v>
      </c>
      <c r="L58" s="9">
        <v>11.0</v>
      </c>
      <c r="M58" s="12">
        <v>1246.7</v>
      </c>
      <c r="N58" s="9">
        <v>1.0</v>
      </c>
      <c r="O58" s="12">
        <v>0.0</v>
      </c>
      <c r="P58" s="12">
        <v>0.0</v>
      </c>
      <c r="Q58" s="12">
        <v>12467.0</v>
      </c>
      <c r="R58" s="11">
        <v>46310.0</v>
      </c>
      <c r="S58" s="9">
        <v>0.0</v>
      </c>
      <c r="T58" s="9" t="s">
        <v>188</v>
      </c>
      <c r="U58" s="9" t="s">
        <v>56</v>
      </c>
      <c r="V5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('KM-L-0057', 'KB-10057', 'Boipelo', 'Rapoo', '+267 74 364 685', '3752', 'Francistown', 'Olebile Moatlhodi', 'School Fees Loan', '2026-08-28', 11500, 11, 1246.7, 1, 0, 0, 12467, '2026-10-15', 0, 'Current', 'No');</v>
      </c>
    </row>
    <row r="59" ht="15.75" customHeight="1">
      <c r="A59" s="9" t="s">
        <v>80</v>
      </c>
      <c r="B59" s="9" t="s">
        <v>632</v>
      </c>
      <c r="C59" s="9" t="s">
        <v>633</v>
      </c>
      <c r="D59" s="9" t="s">
        <v>463</v>
      </c>
      <c r="E59" s="9" t="s">
        <v>634</v>
      </c>
      <c r="F59" s="10" t="s">
        <v>635</v>
      </c>
      <c r="G59" s="9" t="s">
        <v>135</v>
      </c>
      <c r="H59" s="9" t="s">
        <v>137</v>
      </c>
      <c r="I59" s="9" t="s">
        <v>213</v>
      </c>
      <c r="J59" s="11">
        <v>46199.0</v>
      </c>
      <c r="K59" s="12">
        <v>10000.0</v>
      </c>
      <c r="L59" s="9">
        <v>6.0</v>
      </c>
      <c r="M59" s="12">
        <v>1841.67</v>
      </c>
      <c r="N59" s="9">
        <v>0.0</v>
      </c>
      <c r="O59" s="12">
        <v>5525.01</v>
      </c>
      <c r="P59" s="12">
        <v>276.25</v>
      </c>
      <c r="Q59" s="12">
        <v>11326.27</v>
      </c>
      <c r="R59" s="11">
        <v>46218.0</v>
      </c>
      <c r="S59" s="9">
        <v>77.0</v>
      </c>
      <c r="T59" s="9" t="s">
        <v>55</v>
      </c>
      <c r="U59" s="9" t="s">
        <v>56</v>
      </c>
      <c r="V5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('KM-L-0058', 'KB-10058', 'Kgomotso', 'Oagile', '+267 74 180 075', '7990', 'Francistown', 'Olebile Moatlhodi', 'School Fees Loan', '2026-06-26', 10000, 6, 1841.67, 0, 5525.01, 276.25, 11326.27, '2026-07-15', 77, 'In arrears', 'No');</v>
      </c>
    </row>
    <row r="60" ht="15.75" customHeight="1">
      <c r="A60" s="9" t="s">
        <v>636</v>
      </c>
      <c r="B60" s="9" t="s">
        <v>637</v>
      </c>
      <c r="C60" s="9" t="s">
        <v>638</v>
      </c>
      <c r="D60" s="9" t="s">
        <v>423</v>
      </c>
      <c r="E60" s="9" t="s">
        <v>639</v>
      </c>
      <c r="F60" s="10" t="s">
        <v>640</v>
      </c>
      <c r="G60" s="9" t="s">
        <v>135</v>
      </c>
      <c r="H60" s="9" t="s">
        <v>137</v>
      </c>
      <c r="I60" s="9" t="s">
        <v>139</v>
      </c>
      <c r="J60" s="11">
        <v>46229.0</v>
      </c>
      <c r="K60" s="12">
        <v>6500.0</v>
      </c>
      <c r="L60" s="9">
        <v>4.0</v>
      </c>
      <c r="M60" s="12">
        <v>1787.5</v>
      </c>
      <c r="N60" s="9">
        <v>2.0</v>
      </c>
      <c r="O60" s="12">
        <v>0.0</v>
      </c>
      <c r="P60" s="12">
        <v>0.0</v>
      </c>
      <c r="Q60" s="12">
        <v>3575.0</v>
      </c>
      <c r="R60" s="11">
        <v>46320.0</v>
      </c>
      <c r="S60" s="9">
        <v>0.0</v>
      </c>
      <c r="T60" s="9" t="s">
        <v>188</v>
      </c>
      <c r="U60" s="9" t="s">
        <v>56</v>
      </c>
      <c r="V6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('KM-L-0059', 'KB-10059', 'Bontle', 'Molefe', '+267 73 617 236', '8605', 'Francistown', 'Olebile Moatlhodi', 'Salary Advance', '2026-07-26', 6500, 4, 1787.5, 2, 0, 0, 3575, '2026-10-25', 0, 'Current', 'No');</v>
      </c>
    </row>
    <row r="61" ht="15.75" customHeight="1">
      <c r="A61" s="9" t="s">
        <v>641</v>
      </c>
      <c r="B61" s="9" t="s">
        <v>642</v>
      </c>
      <c r="C61" s="9" t="s">
        <v>558</v>
      </c>
      <c r="D61" s="9" t="s">
        <v>643</v>
      </c>
      <c r="E61" s="9" t="s">
        <v>644</v>
      </c>
      <c r="F61" s="10" t="s">
        <v>645</v>
      </c>
      <c r="G61" s="9" t="s">
        <v>135</v>
      </c>
      <c r="H61" s="9" t="s">
        <v>137</v>
      </c>
      <c r="I61" s="9" t="s">
        <v>47</v>
      </c>
      <c r="J61" s="11">
        <v>45919.0</v>
      </c>
      <c r="K61" s="12">
        <v>5500.0</v>
      </c>
      <c r="L61" s="9">
        <v>24.0</v>
      </c>
      <c r="M61" s="12">
        <v>339.17</v>
      </c>
      <c r="N61" s="9">
        <v>12.0</v>
      </c>
      <c r="O61" s="12">
        <v>0.0</v>
      </c>
      <c r="P61" s="12">
        <v>0.0</v>
      </c>
      <c r="Q61" s="12">
        <v>4070.04</v>
      </c>
      <c r="R61" s="11">
        <v>46305.0</v>
      </c>
      <c r="S61" s="9">
        <v>0.0</v>
      </c>
      <c r="T61" s="9" t="s">
        <v>188</v>
      </c>
      <c r="U61" s="9" t="s">
        <v>56</v>
      </c>
      <c r="V6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('KM-L-0060', 'KB-10060', 'Katlego', 'Tlhalefang', '75380750', '7534', 'Francistown', 'Olebile Moatlhodi', 'Small Business Loan', '2025-09-19', 5500, 24, 339.17, 12, 0, 0, 4070.04, '2026-10-10', 0, 'Current', 'No');</v>
      </c>
    </row>
    <row r="62" ht="15.75" customHeight="1">
      <c r="A62" s="9" t="s">
        <v>89</v>
      </c>
      <c r="B62" s="9" t="s">
        <v>646</v>
      </c>
      <c r="C62" s="9" t="s">
        <v>359</v>
      </c>
      <c r="D62" s="9" t="s">
        <v>39</v>
      </c>
      <c r="E62" s="9" t="s">
        <v>647</v>
      </c>
      <c r="F62" s="10" t="s">
        <v>648</v>
      </c>
      <c r="G62" s="9" t="s">
        <v>374</v>
      </c>
      <c r="H62" s="9" t="s">
        <v>376</v>
      </c>
      <c r="I62" s="9" t="s">
        <v>139</v>
      </c>
      <c r="J62" s="11">
        <v>46207.0</v>
      </c>
      <c r="K62" s="12">
        <v>6000.0</v>
      </c>
      <c r="L62" s="9">
        <v>5.0</v>
      </c>
      <c r="M62" s="12">
        <v>1350.0</v>
      </c>
      <c r="N62" s="9">
        <v>0.0</v>
      </c>
      <c r="O62" s="12">
        <v>4050.0</v>
      </c>
      <c r="P62" s="12">
        <v>135.0</v>
      </c>
      <c r="Q62" s="12">
        <v>6885.0</v>
      </c>
      <c r="R62" s="11">
        <v>46228.0</v>
      </c>
      <c r="S62" s="9">
        <v>67.0</v>
      </c>
      <c r="T62" s="9" t="s">
        <v>55</v>
      </c>
      <c r="U62" s="9" t="s">
        <v>56</v>
      </c>
      <c r="V62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('KM-L-0061', 'KB-10061', 'Sethunya', 'Modise', '+267 75 814 939', '4283', 'Mogoditshane', 'Lorato Keakile', 'Salary Advance', '2026-07-04', 6000, 5, 1350, 0, 4050, 135, 6885, '2026-07-25', 67, 'In arrears', 'No');</v>
      </c>
    </row>
    <row r="63" ht="15.75" customHeight="1">
      <c r="A63" s="9" t="s">
        <v>415</v>
      </c>
      <c r="B63" s="9" t="s">
        <v>649</v>
      </c>
      <c r="C63" s="9" t="s">
        <v>128</v>
      </c>
      <c r="D63" s="9" t="s">
        <v>518</v>
      </c>
      <c r="E63" s="9" t="s">
        <v>650</v>
      </c>
      <c r="F63" s="10" t="s">
        <v>651</v>
      </c>
      <c r="G63" s="9" t="s">
        <v>44</v>
      </c>
      <c r="H63" s="9" t="s">
        <v>45</v>
      </c>
      <c r="I63" s="9" t="s">
        <v>47</v>
      </c>
      <c r="J63" s="11">
        <v>46251.0</v>
      </c>
      <c r="K63" s="12">
        <v>35500.0</v>
      </c>
      <c r="L63" s="9">
        <v>9.0</v>
      </c>
      <c r="M63" s="12">
        <v>4654.44</v>
      </c>
      <c r="N63" s="9">
        <v>0.0</v>
      </c>
      <c r="O63" s="12">
        <v>4654.44</v>
      </c>
      <c r="P63" s="12">
        <v>232.72</v>
      </c>
      <c r="Q63" s="12">
        <v>42122.68</v>
      </c>
      <c r="R63" s="11">
        <v>46275.0</v>
      </c>
      <c r="S63" s="9">
        <v>20.0</v>
      </c>
      <c r="T63" s="9" t="s">
        <v>55</v>
      </c>
      <c r="U63" s="9" t="s">
        <v>56</v>
      </c>
      <c r="V6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('KM-L-0062', 'KB-10062', 'Tumelo', 'Seleka', '+267 72 682 137', '6921', 'Gaborone Main Mall', 'Mmoloki Sebina', 'Small Business Loan', '2026-08-17', 35500, 9, 4654.44, 0, 4654.44, 232.72, 42122.68, '2026-09-10', 20, 'In arrears', 'No');</v>
      </c>
    </row>
    <row r="64" ht="15.75" customHeight="1">
      <c r="A64" s="9" t="s">
        <v>652</v>
      </c>
      <c r="B64" s="9" t="s">
        <v>653</v>
      </c>
      <c r="C64" s="9" t="s">
        <v>421</v>
      </c>
      <c r="D64" s="9" t="s">
        <v>654</v>
      </c>
      <c r="E64" s="9" t="s">
        <v>655</v>
      </c>
      <c r="F64" s="10" t="s">
        <v>656</v>
      </c>
      <c r="G64" s="9" t="s">
        <v>135</v>
      </c>
      <c r="H64" s="9" t="s">
        <v>137</v>
      </c>
      <c r="I64" s="9" t="s">
        <v>47</v>
      </c>
      <c r="J64" s="11">
        <v>46248.0</v>
      </c>
      <c r="K64" s="12">
        <v>9000.0</v>
      </c>
      <c r="L64" s="9">
        <v>6.0</v>
      </c>
      <c r="M64" s="12">
        <v>1680.0</v>
      </c>
      <c r="N64" s="9">
        <v>1.0</v>
      </c>
      <c r="O64" s="12">
        <v>0.0</v>
      </c>
      <c r="P64" s="12">
        <v>0.0</v>
      </c>
      <c r="Q64" s="12">
        <v>8400.0</v>
      </c>
      <c r="R64" s="11">
        <v>46305.0</v>
      </c>
      <c r="S64" s="9">
        <v>0.0</v>
      </c>
      <c r="T64" s="9" t="s">
        <v>188</v>
      </c>
      <c r="U64" s="9" t="s">
        <v>56</v>
      </c>
      <c r="V6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('KM-L-0063', 'KB-10063', 'Tlotlo', 'Mosweu', '+267 74 914 858', '5234', 'Francistown', 'Olebile Moatlhodi', 'Small Business Loan', '2026-08-14', 9000, 6, 1680, 1, 0, 0, 8400, '2026-10-10', 0, 'Current', 'No');</v>
      </c>
    </row>
    <row r="65" ht="15.75" customHeight="1">
      <c r="A65" s="9" t="s">
        <v>657</v>
      </c>
      <c r="B65" s="9" t="s">
        <v>658</v>
      </c>
      <c r="C65" s="9" t="s">
        <v>462</v>
      </c>
      <c r="D65" s="9" t="s">
        <v>659</v>
      </c>
      <c r="E65" s="9" t="s">
        <v>660</v>
      </c>
      <c r="F65" s="10" t="s">
        <v>661</v>
      </c>
      <c r="G65" s="9" t="s">
        <v>210</v>
      </c>
      <c r="H65" s="9" t="s">
        <v>212</v>
      </c>
      <c r="I65" s="9" t="s">
        <v>139</v>
      </c>
      <c r="J65" s="11">
        <v>46111.0</v>
      </c>
      <c r="K65" s="12">
        <v>12800.0</v>
      </c>
      <c r="L65" s="9">
        <v>10.0</v>
      </c>
      <c r="M65" s="12">
        <v>1600.0</v>
      </c>
      <c r="N65" s="9">
        <v>6.0</v>
      </c>
      <c r="O65" s="12">
        <v>0.0</v>
      </c>
      <c r="P65" s="12">
        <v>0.0</v>
      </c>
      <c r="Q65" s="12">
        <v>6400.0</v>
      </c>
      <c r="R65" s="11">
        <v>46320.0</v>
      </c>
      <c r="S65" s="9">
        <v>0.0</v>
      </c>
      <c r="T65" s="9" t="s">
        <v>188</v>
      </c>
      <c r="U65" s="9" t="s">
        <v>56</v>
      </c>
      <c r="V6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('KM-L-0064', 'KB-10064', 'Lesego', 'Motsumi', '+267 73 670 412', '1945', 'Tlokweng', 'Bame Mokone', 'Salary Advance', '2026-03-30', 12800, 10, 1600, 6, 0, 0, 6400, '2026-10-25', 0, 'Current', 'No');</v>
      </c>
    </row>
    <row r="66" ht="15.75" customHeight="1">
      <c r="A66" s="9" t="s">
        <v>88</v>
      </c>
      <c r="B66" s="9" t="s">
        <v>662</v>
      </c>
      <c r="C66" s="9" t="s">
        <v>513</v>
      </c>
      <c r="D66" s="9" t="s">
        <v>132</v>
      </c>
      <c r="E66" s="9" t="s">
        <v>663</v>
      </c>
      <c r="F66" s="10" t="s">
        <v>664</v>
      </c>
      <c r="G66" s="9" t="s">
        <v>374</v>
      </c>
      <c r="H66" s="9" t="s">
        <v>376</v>
      </c>
      <c r="I66" s="9" t="s">
        <v>47</v>
      </c>
      <c r="J66" s="11">
        <v>45913.0</v>
      </c>
      <c r="K66" s="12">
        <v>30000.0</v>
      </c>
      <c r="L66" s="9">
        <v>18.0</v>
      </c>
      <c r="M66" s="12">
        <v>2266.67</v>
      </c>
      <c r="N66" s="9">
        <v>12.0</v>
      </c>
      <c r="O66" s="12">
        <v>0.0</v>
      </c>
      <c r="P66" s="12">
        <v>0.0</v>
      </c>
      <c r="Q66" s="12">
        <v>13600.02</v>
      </c>
      <c r="R66" s="11">
        <v>46305.0</v>
      </c>
      <c r="S66" s="9">
        <v>0.0</v>
      </c>
      <c r="T66" s="9" t="s">
        <v>188</v>
      </c>
      <c r="U66" s="9" t="s">
        <v>56</v>
      </c>
      <c r="V6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('KM-L-0065', 'KB-10065', 'Onalenna', 'Rakgomo', '72087135', '5125', 'Mogoditshane', 'Lorato Keakile', 'Small Business Loan', '2025-09-13', 30000, 18, 2266.67, 12, 0, 0, 13600.02, '2026-10-10', 0, 'Current', 'No');</v>
      </c>
    </row>
    <row r="67" ht="15.75" customHeight="1">
      <c r="A67" s="9" t="s">
        <v>272</v>
      </c>
      <c r="B67" s="9" t="s">
        <v>665</v>
      </c>
      <c r="C67" s="9" t="s">
        <v>629</v>
      </c>
      <c r="D67" s="9" t="s">
        <v>267</v>
      </c>
      <c r="E67" s="9" t="s">
        <v>666</v>
      </c>
      <c r="F67" s="10" t="s">
        <v>667</v>
      </c>
      <c r="G67" s="9" t="s">
        <v>44</v>
      </c>
      <c r="H67" s="9" t="s">
        <v>323</v>
      </c>
      <c r="I67" s="9" t="s">
        <v>213</v>
      </c>
      <c r="J67" s="11">
        <v>46068.0</v>
      </c>
      <c r="K67" s="12">
        <v>14500.0</v>
      </c>
      <c r="L67" s="9">
        <v>10.0</v>
      </c>
      <c r="M67" s="12">
        <v>1703.75</v>
      </c>
      <c r="N67" s="9">
        <v>7.0</v>
      </c>
      <c r="O67" s="12">
        <v>0.0</v>
      </c>
      <c r="P67" s="12">
        <v>0.0</v>
      </c>
      <c r="Q67" s="12">
        <v>5111.25</v>
      </c>
      <c r="R67" s="11">
        <v>46310.0</v>
      </c>
      <c r="S67" s="9">
        <v>0.0</v>
      </c>
      <c r="T67" s="9" t="s">
        <v>188</v>
      </c>
      <c r="U67" s="9" t="s">
        <v>56</v>
      </c>
      <c r="V6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('KM-L-0066', 'KB-10066', 'Boipelo', 'Mabote', '+267 71 054 061', '6060', 'Gaborone Main Mall', 'Tshiamo Ntsima', 'School Fees Loan', '2026-02-15', 14500, 10, 1703.75, 7, 0, 0, 5111.25, '2026-10-15', 0, 'Current', 'No');</v>
      </c>
    </row>
    <row r="68" ht="15.75" customHeight="1">
      <c r="A68" s="9" t="s">
        <v>312</v>
      </c>
      <c r="B68" s="9" t="s">
        <v>668</v>
      </c>
      <c r="C68" s="9" t="s">
        <v>343</v>
      </c>
      <c r="D68" s="9" t="s">
        <v>498</v>
      </c>
      <c r="E68" s="9" t="s">
        <v>669</v>
      </c>
      <c r="F68" s="10" t="s">
        <v>670</v>
      </c>
      <c r="G68" s="9" t="s">
        <v>210</v>
      </c>
      <c r="H68" s="9" t="s">
        <v>212</v>
      </c>
      <c r="I68" s="9" t="s">
        <v>47</v>
      </c>
      <c r="J68" s="11">
        <v>46213.0</v>
      </c>
      <c r="K68" s="12">
        <v>17500.0</v>
      </c>
      <c r="L68" s="9">
        <v>23.0</v>
      </c>
      <c r="M68" s="12">
        <v>1110.87</v>
      </c>
      <c r="N68" s="9">
        <v>1.0</v>
      </c>
      <c r="O68" s="12">
        <v>1110.87</v>
      </c>
      <c r="P68" s="12">
        <v>55.54</v>
      </c>
      <c r="Q68" s="12">
        <v>24494.68</v>
      </c>
      <c r="R68" s="11">
        <v>46275.0</v>
      </c>
      <c r="S68" s="9">
        <v>20.0</v>
      </c>
      <c r="T68" s="9" t="s">
        <v>55</v>
      </c>
      <c r="U68" s="9" t="s">
        <v>56</v>
      </c>
      <c r="V6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('KM-L-0067', 'KB-10067', 'Mmaserame', 'Lekoko', '+267 71 139 652', '5175', 'Tlokweng', 'Bame Mokone', 'Small Business Loan', '2026-07-10', 17500, 23, 1110.87, 1, 1110.87, 55.54, 24494.68, '2026-09-10', 20, 'In arrears', 'No');</v>
      </c>
    </row>
    <row r="69" ht="15.75" customHeight="1">
      <c r="A69" s="9" t="s">
        <v>671</v>
      </c>
      <c r="B69" s="9" t="s">
        <v>672</v>
      </c>
      <c r="C69" s="9" t="s">
        <v>409</v>
      </c>
      <c r="D69" s="9" t="s">
        <v>410</v>
      </c>
      <c r="E69" s="9" t="s">
        <v>673</v>
      </c>
      <c r="F69" s="10" t="s">
        <v>674</v>
      </c>
      <c r="G69" s="9" t="s">
        <v>374</v>
      </c>
      <c r="H69" s="9" t="s">
        <v>376</v>
      </c>
      <c r="I69" s="9" t="s">
        <v>213</v>
      </c>
      <c r="J69" s="11">
        <v>46187.0</v>
      </c>
      <c r="K69" s="12">
        <v>4500.0</v>
      </c>
      <c r="L69" s="9">
        <v>4.0</v>
      </c>
      <c r="M69" s="12">
        <v>1203.75</v>
      </c>
      <c r="N69" s="9">
        <v>3.0</v>
      </c>
      <c r="O69" s="12">
        <v>0.0</v>
      </c>
      <c r="P69" s="12">
        <v>0.0</v>
      </c>
      <c r="Q69" s="12">
        <v>1203.75</v>
      </c>
      <c r="R69" s="11">
        <v>46310.0</v>
      </c>
      <c r="S69" s="9">
        <v>0.0</v>
      </c>
      <c r="T69" s="9" t="s">
        <v>188</v>
      </c>
      <c r="U69" s="9" t="s">
        <v>56</v>
      </c>
      <c r="V6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('KM-L-0068', 'KB-10068', 'Keabetswe', 'Nkwe', '+267 77 355 080', '8176', 'Mogoditshane', 'Lorato Keakile', 'School Fees Loan', '2026-06-14', 4500, 4, 1203.75, 3, 0, 0, 1203.75, '2026-10-15', 0, 'Current', 'No');</v>
      </c>
    </row>
    <row r="70" ht="15.75" customHeight="1">
      <c r="A70" s="9" t="s">
        <v>79</v>
      </c>
      <c r="B70" s="9" t="s">
        <v>675</v>
      </c>
      <c r="C70" s="9" t="s">
        <v>487</v>
      </c>
      <c r="D70" s="9" t="s">
        <v>453</v>
      </c>
      <c r="E70" s="9" t="s">
        <v>676</v>
      </c>
      <c r="F70" s="10" t="s">
        <v>677</v>
      </c>
      <c r="G70" s="9" t="s">
        <v>374</v>
      </c>
      <c r="H70" s="9" t="s">
        <v>376</v>
      </c>
      <c r="I70" s="9" t="s">
        <v>47</v>
      </c>
      <c r="J70" s="11">
        <v>46129.0</v>
      </c>
      <c r="K70" s="12">
        <v>46500.0</v>
      </c>
      <c r="L70" s="9">
        <v>7.0</v>
      </c>
      <c r="M70" s="12">
        <v>7572.86</v>
      </c>
      <c r="N70" s="9">
        <v>5.0</v>
      </c>
      <c r="O70" s="12">
        <v>0.0</v>
      </c>
      <c r="P70" s="12">
        <v>0.0</v>
      </c>
      <c r="Q70" s="12">
        <v>15145.72</v>
      </c>
      <c r="R70" s="11">
        <v>46305.0</v>
      </c>
      <c r="S70" s="9">
        <v>0.0</v>
      </c>
      <c r="T70" s="9" t="s">
        <v>188</v>
      </c>
      <c r="U70" s="9" t="s">
        <v>56</v>
      </c>
      <c r="V7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('KM-L-0069', 'KB-10069', 'Kealeboga', 'Tau', '26777217151', '3955', 'Mogoditshane', 'Lorato Keakile', 'Small Business Loan', '2026-04-17', 46500, 7, 7572.86, 5, 0, 0, 15145.72, '2026-10-10', 0, 'Current', 'No');</v>
      </c>
    </row>
    <row r="71" ht="15.75" customHeight="1">
      <c r="A71" s="9" t="s">
        <v>379</v>
      </c>
      <c r="B71" s="9" t="s">
        <v>678</v>
      </c>
      <c r="C71" s="9" t="s">
        <v>679</v>
      </c>
      <c r="D71" s="9" t="s">
        <v>549</v>
      </c>
      <c r="E71" s="9" t="s">
        <v>680</v>
      </c>
      <c r="F71" s="10" t="s">
        <v>681</v>
      </c>
      <c r="G71" s="9" t="s">
        <v>135</v>
      </c>
      <c r="H71" s="9" t="s">
        <v>137</v>
      </c>
      <c r="I71" s="9" t="s">
        <v>213</v>
      </c>
      <c r="J71" s="11">
        <v>46199.0</v>
      </c>
      <c r="K71" s="12">
        <v>9500.0</v>
      </c>
      <c r="L71" s="9">
        <v>4.0</v>
      </c>
      <c r="M71" s="12">
        <v>2541.25</v>
      </c>
      <c r="N71" s="9">
        <v>1.0</v>
      </c>
      <c r="O71" s="12">
        <v>5082.5</v>
      </c>
      <c r="P71" s="12">
        <v>254.12</v>
      </c>
      <c r="Q71" s="12">
        <v>7877.87</v>
      </c>
      <c r="R71" s="11">
        <v>46249.0</v>
      </c>
      <c r="S71" s="9">
        <v>46.0</v>
      </c>
      <c r="T71" s="9" t="s">
        <v>55</v>
      </c>
      <c r="U71" s="9" t="s">
        <v>56</v>
      </c>
      <c r="V7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('KM-L-0070', 'KB-10070', 'Pako', 'Nthebolang', '+267 73 159 650', '4659', 'Francistown', 'Olebile Moatlhodi', 'School Fees Loan', '2026-06-26', 9500, 4, 2541.25, 1, 5082.5, 254.12, 7877.87, '2026-08-15', 46, 'In arrears', 'No');</v>
      </c>
    </row>
    <row r="72" ht="15.75" customHeight="1">
      <c r="A72" s="9" t="s">
        <v>682</v>
      </c>
      <c r="B72" s="9" t="s">
        <v>683</v>
      </c>
      <c r="C72" s="9" t="s">
        <v>317</v>
      </c>
      <c r="D72" s="9" t="s">
        <v>267</v>
      </c>
      <c r="E72" s="9" t="s">
        <v>684</v>
      </c>
      <c r="F72" s="10" t="s">
        <v>685</v>
      </c>
      <c r="G72" s="9" t="s">
        <v>374</v>
      </c>
      <c r="H72" s="9" t="s">
        <v>376</v>
      </c>
      <c r="I72" s="9" t="s">
        <v>139</v>
      </c>
      <c r="J72" s="11">
        <v>46045.0</v>
      </c>
      <c r="K72" s="12">
        <v>10500.0</v>
      </c>
      <c r="L72" s="9">
        <v>11.0</v>
      </c>
      <c r="M72" s="12">
        <v>1217.05</v>
      </c>
      <c r="N72" s="9">
        <v>8.0</v>
      </c>
      <c r="O72" s="12">
        <v>0.0</v>
      </c>
      <c r="P72" s="12">
        <v>0.0</v>
      </c>
      <c r="Q72" s="12">
        <v>3651.15</v>
      </c>
      <c r="R72" s="11">
        <v>46320.0</v>
      </c>
      <c r="S72" s="9">
        <v>0.0</v>
      </c>
      <c r="T72" s="9" t="s">
        <v>188</v>
      </c>
      <c r="U72" s="9" t="s">
        <v>56</v>
      </c>
      <c r="V72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('KM-L-0071', 'KB-10071', 'Phenyo', 'Mabote', '+267 72 609 997', '7610', 'Mogoditshane', 'Lorato Keakile', 'Salary Advance', '2026-01-23', 10500, 11, 1217.05, 8, 0, 0, 3651.15, '2026-10-25', 0, 'Current', 'No');</v>
      </c>
    </row>
    <row r="73" ht="15.75" customHeight="1">
      <c r="A73" s="9" t="s">
        <v>686</v>
      </c>
      <c r="B73" s="9" t="s">
        <v>687</v>
      </c>
      <c r="C73" s="9" t="s">
        <v>492</v>
      </c>
      <c r="D73" s="9" t="s">
        <v>435</v>
      </c>
      <c r="E73" s="9" t="s">
        <v>688</v>
      </c>
      <c r="F73" s="10" t="s">
        <v>689</v>
      </c>
      <c r="G73" s="9" t="s">
        <v>135</v>
      </c>
      <c r="H73" s="9" t="s">
        <v>137</v>
      </c>
      <c r="I73" s="9" t="s">
        <v>139</v>
      </c>
      <c r="J73" s="11">
        <v>46172.0</v>
      </c>
      <c r="K73" s="12">
        <v>9000.0</v>
      </c>
      <c r="L73" s="9">
        <v>8.0</v>
      </c>
      <c r="M73" s="12">
        <v>1350.0</v>
      </c>
      <c r="N73" s="9">
        <v>4.0</v>
      </c>
      <c r="O73" s="12">
        <v>0.0</v>
      </c>
      <c r="P73" s="12">
        <v>0.0</v>
      </c>
      <c r="Q73" s="12">
        <v>5400.0</v>
      </c>
      <c r="R73" s="11">
        <v>46320.0</v>
      </c>
      <c r="S73" s="9">
        <v>0.0</v>
      </c>
      <c r="T73" s="9" t="s">
        <v>188</v>
      </c>
      <c r="U73" s="9" t="s">
        <v>56</v>
      </c>
      <c r="V7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('KM-L-0072', 'KB-10072', 'Kabelo', 'Morake', '+267 71 001 854', '7388', 'Francistown', 'Olebile Moatlhodi', 'Salary Advance', '2026-05-30', 9000, 8, 1350, 4, 0, 0, 5400, '2026-10-25', 0, 'Current', 'No');</v>
      </c>
    </row>
    <row r="74" ht="15.75" customHeight="1">
      <c r="A74" s="9" t="s">
        <v>690</v>
      </c>
      <c r="B74" s="9" t="s">
        <v>691</v>
      </c>
      <c r="C74" s="9" t="s">
        <v>692</v>
      </c>
      <c r="D74" s="9" t="s">
        <v>654</v>
      </c>
      <c r="E74" s="9" t="s">
        <v>693</v>
      </c>
      <c r="F74" s="10" t="s">
        <v>694</v>
      </c>
      <c r="G74" s="9" t="s">
        <v>210</v>
      </c>
      <c r="H74" s="9" t="s">
        <v>212</v>
      </c>
      <c r="I74" s="9" t="s">
        <v>47</v>
      </c>
      <c r="J74" s="11">
        <v>45921.0</v>
      </c>
      <c r="K74" s="12">
        <v>29500.0</v>
      </c>
      <c r="L74" s="9">
        <v>21.0</v>
      </c>
      <c r="M74" s="12">
        <v>1994.76</v>
      </c>
      <c r="N74" s="9">
        <v>12.0</v>
      </c>
      <c r="O74" s="12">
        <v>0.0</v>
      </c>
      <c r="P74" s="12">
        <v>0.0</v>
      </c>
      <c r="Q74" s="12">
        <v>17952.84</v>
      </c>
      <c r="R74" s="11">
        <v>46305.0</v>
      </c>
      <c r="S74" s="9">
        <v>0.0</v>
      </c>
      <c r="T74" s="9" t="s">
        <v>188</v>
      </c>
      <c r="U74" s="9" t="s">
        <v>56</v>
      </c>
      <c r="V7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('KM-L-0073', 'KB-10073', 'Dineo', 'Mosweu', '+267 76 472 510', '0706', 'Tlokweng', 'Bame Mokone', 'Small Business Loan', '2025-09-21', 29500, 21, 1994.76, 12, 0, 0, 17952.84, '2026-10-10', 0, 'Current', 'No');</v>
      </c>
    </row>
    <row r="75" ht="15.75" customHeight="1">
      <c r="A75" s="9" t="s">
        <v>695</v>
      </c>
      <c r="B75" s="9" t="s">
        <v>696</v>
      </c>
      <c r="C75" s="9" t="s">
        <v>532</v>
      </c>
      <c r="D75" s="9" t="s">
        <v>697</v>
      </c>
      <c r="E75" s="9" t="s">
        <v>698</v>
      </c>
      <c r="F75" s="10" t="s">
        <v>699</v>
      </c>
      <c r="G75" s="9" t="s">
        <v>44</v>
      </c>
      <c r="H75" s="9" t="s">
        <v>323</v>
      </c>
      <c r="I75" s="9" t="s">
        <v>47</v>
      </c>
      <c r="J75" s="11">
        <v>46123.0</v>
      </c>
      <c r="K75" s="12">
        <v>52000.0</v>
      </c>
      <c r="L75" s="9">
        <v>14.0</v>
      </c>
      <c r="M75" s="12">
        <v>4754.29</v>
      </c>
      <c r="N75" s="9">
        <v>5.0</v>
      </c>
      <c r="O75" s="12">
        <v>0.0</v>
      </c>
      <c r="P75" s="12">
        <v>0.0</v>
      </c>
      <c r="Q75" s="12">
        <v>42788.61</v>
      </c>
      <c r="R75" s="11">
        <v>46305.0</v>
      </c>
      <c r="S75" s="9">
        <v>0.0</v>
      </c>
      <c r="T75" s="9" t="s">
        <v>188</v>
      </c>
      <c r="U75" s="9" t="s">
        <v>56</v>
      </c>
      <c r="V7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('KM-L-0074', 'KB-10074', 'Resego', 'Koosimile', '+267 77 316 153', '2798', 'Gaborone Main Mall', 'Tshiamo Ntsima', 'Small Business Loan', '2026-04-11', 52000, 14, 4754.29, 5, 0, 0, 42788.61, '2026-10-10', 0, 'Current', 'No');</v>
      </c>
    </row>
    <row r="76" ht="15.75" customHeight="1">
      <c r="A76" s="9" t="s">
        <v>700</v>
      </c>
      <c r="B76" s="9" t="s">
        <v>701</v>
      </c>
      <c r="C76" s="9" t="s">
        <v>71</v>
      </c>
      <c r="D76" s="9" t="s">
        <v>39</v>
      </c>
      <c r="E76" s="9" t="s">
        <v>702</v>
      </c>
      <c r="F76" s="10" t="s">
        <v>703</v>
      </c>
      <c r="G76" s="9" t="s">
        <v>374</v>
      </c>
      <c r="H76" s="9" t="s">
        <v>376</v>
      </c>
      <c r="I76" s="9" t="s">
        <v>139</v>
      </c>
      <c r="J76" s="11">
        <v>46261.0</v>
      </c>
      <c r="K76" s="12">
        <v>19500.0</v>
      </c>
      <c r="L76" s="9">
        <v>12.0</v>
      </c>
      <c r="M76" s="12">
        <v>2112.5</v>
      </c>
      <c r="N76" s="9">
        <v>1.0</v>
      </c>
      <c r="O76" s="12">
        <v>0.0</v>
      </c>
      <c r="P76" s="12">
        <v>0.0</v>
      </c>
      <c r="Q76" s="12">
        <v>23237.5</v>
      </c>
      <c r="R76" s="11">
        <v>46320.0</v>
      </c>
      <c r="S76" s="9">
        <v>0.0</v>
      </c>
      <c r="T76" s="9" t="s">
        <v>188</v>
      </c>
      <c r="U76" s="9" t="s">
        <v>56</v>
      </c>
      <c r="V7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('KM-L-0075', 'KB-10075', 'Lorato', 'Modise', '71708291', '2926', 'Mogoditshane', 'Lorato Keakile', 'Salary Advance', '2026-08-27', 19500, 12, 2112.5, 1, 0, 0, 23237.5, '2026-10-25', 0, 'Current', 'No');</v>
      </c>
    </row>
    <row r="77" ht="15.75" customHeight="1">
      <c r="A77" s="9" t="s">
        <v>349</v>
      </c>
      <c r="B77" s="9" t="s">
        <v>704</v>
      </c>
      <c r="C77" s="9" t="s">
        <v>170</v>
      </c>
      <c r="D77" s="9" t="s">
        <v>705</v>
      </c>
      <c r="E77" s="9" t="s">
        <v>706</v>
      </c>
      <c r="F77" s="10" t="s">
        <v>707</v>
      </c>
      <c r="G77" s="9" t="s">
        <v>135</v>
      </c>
      <c r="H77" s="9" t="s">
        <v>137</v>
      </c>
      <c r="I77" s="9" t="s">
        <v>213</v>
      </c>
      <c r="J77" s="11">
        <v>46249.0</v>
      </c>
      <c r="K77" s="12">
        <v>8000.0</v>
      </c>
      <c r="L77" s="9">
        <v>3.0</v>
      </c>
      <c r="M77" s="12">
        <v>2806.67</v>
      </c>
      <c r="N77" s="9">
        <v>0.0</v>
      </c>
      <c r="O77" s="12">
        <v>2806.67</v>
      </c>
      <c r="P77" s="12">
        <v>140.33</v>
      </c>
      <c r="Q77" s="12">
        <v>8560.34</v>
      </c>
      <c r="R77" s="11">
        <v>46280.0</v>
      </c>
      <c r="S77" s="9">
        <v>15.0</v>
      </c>
      <c r="T77" s="9" t="s">
        <v>55</v>
      </c>
      <c r="U77" s="9" t="s">
        <v>56</v>
      </c>
      <c r="V7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('KM-L-0076', 'KB-10076', 'Obakeng', 'Gaetsewe', '+267 73 529 147', '4084', 'Francistown', 'Olebile Moatlhodi', 'School Fees Loan', '2026-08-15', 8000, 3, 2806.67, 0, 2806.67, 140.33, 8560.34, '2026-09-15', 15, 'In arrears', 'No');</v>
      </c>
    </row>
    <row r="78" ht="15.75" customHeight="1">
      <c r="A78" s="9" t="s">
        <v>708</v>
      </c>
      <c r="B78" s="9" t="s">
        <v>709</v>
      </c>
      <c r="C78" s="9" t="s">
        <v>532</v>
      </c>
      <c r="D78" s="9" t="s">
        <v>624</v>
      </c>
      <c r="E78" s="9" t="s">
        <v>710</v>
      </c>
      <c r="F78" s="10" t="s">
        <v>711</v>
      </c>
      <c r="G78" s="9" t="s">
        <v>374</v>
      </c>
      <c r="H78" s="9" t="s">
        <v>376</v>
      </c>
      <c r="I78" s="9" t="s">
        <v>139</v>
      </c>
      <c r="J78" s="11">
        <v>46232.0</v>
      </c>
      <c r="K78" s="12">
        <v>6500.0</v>
      </c>
      <c r="L78" s="9">
        <v>5.0</v>
      </c>
      <c r="M78" s="12">
        <v>1462.5</v>
      </c>
      <c r="N78" s="9">
        <v>2.0</v>
      </c>
      <c r="O78" s="12">
        <v>0.0</v>
      </c>
      <c r="P78" s="12">
        <v>0.0</v>
      </c>
      <c r="Q78" s="12">
        <v>4387.5</v>
      </c>
      <c r="R78" s="11">
        <v>46320.0</v>
      </c>
      <c r="S78" s="9">
        <v>0.0</v>
      </c>
      <c r="T78" s="9" t="s">
        <v>188</v>
      </c>
      <c r="U78" s="9" t="s">
        <v>56</v>
      </c>
      <c r="V7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('KM-L-0077', 'KB-10077', 'Resego', 'Rapoo', '+267 74 629 846', '2720', 'Mogoditshane', 'Lorato Keakile', 'Salary Advance', '2026-07-29', 6500, 5, 1462.5, 2, 0, 0, 4387.5, '2026-10-25', 0, 'Current', 'No');</v>
      </c>
    </row>
    <row r="79" ht="15.75" customHeight="1">
      <c r="A79" s="9" t="s">
        <v>712</v>
      </c>
      <c r="B79" s="9" t="s">
        <v>713</v>
      </c>
      <c r="C79" s="9" t="s">
        <v>714</v>
      </c>
      <c r="D79" s="9" t="s">
        <v>715</v>
      </c>
      <c r="E79" s="9" t="s">
        <v>716</v>
      </c>
      <c r="F79" s="10" t="s">
        <v>717</v>
      </c>
      <c r="G79" s="9" t="s">
        <v>135</v>
      </c>
      <c r="H79" s="9" t="s">
        <v>137</v>
      </c>
      <c r="I79" s="9" t="s">
        <v>139</v>
      </c>
      <c r="J79" s="11">
        <v>46235.0</v>
      </c>
      <c r="K79" s="12">
        <v>6000.0</v>
      </c>
      <c r="L79" s="9">
        <v>6.0</v>
      </c>
      <c r="M79" s="12">
        <v>1150.0</v>
      </c>
      <c r="N79" s="9">
        <v>2.0</v>
      </c>
      <c r="O79" s="12">
        <v>0.0</v>
      </c>
      <c r="P79" s="12">
        <v>0.0</v>
      </c>
      <c r="Q79" s="12">
        <v>4600.0</v>
      </c>
      <c r="R79" s="11">
        <v>46320.0</v>
      </c>
      <c r="S79" s="9">
        <v>0.0</v>
      </c>
      <c r="T79" s="9" t="s">
        <v>188</v>
      </c>
      <c r="U79" s="9" t="s">
        <v>56</v>
      </c>
      <c r="V7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('KM-L-0078', 'KB-10078', 'Masego', 'Phiri', '+267 72 465 019', '7036', 'Francistown', 'Olebile Moatlhodi', 'Salary Advance', '2026-08-01', 6000, 6, 1150, 2, 0, 0, 4600, '2026-10-25', 0, 'Current', 'No');</v>
      </c>
    </row>
    <row r="80" ht="15.75" customHeight="1">
      <c r="A80" s="9" t="s">
        <v>718</v>
      </c>
      <c r="B80" s="9" t="s">
        <v>713</v>
      </c>
      <c r="C80" s="9" t="s">
        <v>714</v>
      </c>
      <c r="D80" s="9" t="s">
        <v>715</v>
      </c>
      <c r="E80" s="9" t="s">
        <v>716</v>
      </c>
      <c r="F80" s="10" t="s">
        <v>717</v>
      </c>
      <c r="G80" s="9" t="s">
        <v>135</v>
      </c>
      <c r="H80" s="9" t="s">
        <v>137</v>
      </c>
      <c r="I80" s="9" t="s">
        <v>213</v>
      </c>
      <c r="J80" s="11">
        <v>46259.0</v>
      </c>
      <c r="K80" s="12">
        <v>4000.0</v>
      </c>
      <c r="L80" s="9">
        <v>4.0</v>
      </c>
      <c r="M80" s="12">
        <v>1070.0</v>
      </c>
      <c r="N80" s="9">
        <v>1.0</v>
      </c>
      <c r="O80" s="12">
        <v>0.0</v>
      </c>
      <c r="P80" s="12">
        <v>0.0</v>
      </c>
      <c r="Q80" s="12">
        <v>3210.0</v>
      </c>
      <c r="R80" s="11">
        <v>46310.0</v>
      </c>
      <c r="S80" s="9">
        <v>0.0</v>
      </c>
      <c r="T80" s="9" t="s">
        <v>188</v>
      </c>
      <c r="U80" s="9" t="s">
        <v>56</v>
      </c>
      <c r="V8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('KM-L-0079', 'KB-10078', 'Masego', 'Phiri', '+267 72 465 019', '7036', 'Francistown', 'Olebile Moatlhodi', 'School Fees Loan', '2026-08-25', 4000, 4, 1070, 1, 0, 0, 3210, '2026-10-15', 0, 'Current', 'No');</v>
      </c>
    </row>
    <row r="81" ht="15.75" customHeight="1">
      <c r="A81" s="9" t="s">
        <v>417</v>
      </c>
      <c r="B81" s="9" t="s">
        <v>719</v>
      </c>
      <c r="C81" s="9" t="s">
        <v>492</v>
      </c>
      <c r="D81" s="9" t="s">
        <v>318</v>
      </c>
      <c r="E81" s="9" t="s">
        <v>720</v>
      </c>
      <c r="F81" s="10" t="s">
        <v>721</v>
      </c>
      <c r="G81" s="9" t="s">
        <v>135</v>
      </c>
      <c r="H81" s="9" t="s">
        <v>137</v>
      </c>
      <c r="I81" s="9" t="s">
        <v>139</v>
      </c>
      <c r="J81" s="11">
        <v>46078.0</v>
      </c>
      <c r="K81" s="12">
        <v>13500.0</v>
      </c>
      <c r="L81" s="9">
        <v>12.0</v>
      </c>
      <c r="M81" s="12">
        <v>1462.5</v>
      </c>
      <c r="N81" s="9">
        <v>6.0</v>
      </c>
      <c r="O81" s="12">
        <v>1462.5</v>
      </c>
      <c r="P81" s="12">
        <v>0.0</v>
      </c>
      <c r="Q81" s="12">
        <v>8775.0</v>
      </c>
      <c r="R81" s="11">
        <v>46290.0</v>
      </c>
      <c r="S81" s="9">
        <v>5.0</v>
      </c>
      <c r="T81" s="9" t="s">
        <v>55</v>
      </c>
      <c r="U81" s="9" t="s">
        <v>56</v>
      </c>
      <c r="V8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('KM-L-0080', 'KB-10079', 'Kabelo', 'Mogapi', '+267 75 636 741', '4351', 'Francistown', 'Olebile Moatlhodi', 'Salary Advance', '2026-02-25', 13500, 12, 1462.5, 6, 1462.5, 0, 8775, '2026-09-25', 5, 'In arrears', 'No');</v>
      </c>
    </row>
    <row r="82" ht="15.75" customHeight="1">
      <c r="A82" s="9" t="s">
        <v>722</v>
      </c>
      <c r="B82" s="9" t="s">
        <v>723</v>
      </c>
      <c r="C82" s="9" t="s">
        <v>392</v>
      </c>
      <c r="D82" s="9" t="s">
        <v>624</v>
      </c>
      <c r="E82" s="9" t="s">
        <v>724</v>
      </c>
      <c r="F82" s="10" t="s">
        <v>725</v>
      </c>
      <c r="G82" s="9" t="s">
        <v>135</v>
      </c>
      <c r="H82" s="9" t="s">
        <v>137</v>
      </c>
      <c r="I82" s="9" t="s">
        <v>47</v>
      </c>
      <c r="J82" s="11">
        <v>45827.0</v>
      </c>
      <c r="K82" s="12">
        <v>29500.0</v>
      </c>
      <c r="L82" s="9">
        <v>17.0</v>
      </c>
      <c r="M82" s="12">
        <v>2325.29</v>
      </c>
      <c r="N82" s="9">
        <v>15.0</v>
      </c>
      <c r="O82" s="12">
        <v>0.0</v>
      </c>
      <c r="P82" s="12">
        <v>0.0</v>
      </c>
      <c r="Q82" s="12">
        <v>4650.58</v>
      </c>
      <c r="R82" s="11">
        <v>46305.0</v>
      </c>
      <c r="S82" s="9">
        <v>0.0</v>
      </c>
      <c r="T82" s="9" t="s">
        <v>188</v>
      </c>
      <c r="U82" s="9" t="s">
        <v>56</v>
      </c>
      <c r="V82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('KM-L-0081', 'KB-10080', 'Olorato', 'Rapoo', '+267 77 418 322', '0814', 'Francistown', 'Olebile Moatlhodi', 'Small Business Loan', '2025-06-19', 29500, 17, 2325.29, 15, 0, 0, 4650.58, '2026-10-10', 0, 'Current', 'No');</v>
      </c>
    </row>
    <row r="83" ht="15.75" customHeight="1">
      <c r="A83" s="9" t="s">
        <v>363</v>
      </c>
      <c r="B83" s="9" t="s">
        <v>726</v>
      </c>
      <c r="C83" s="9" t="s">
        <v>289</v>
      </c>
      <c r="D83" s="9" t="s">
        <v>533</v>
      </c>
      <c r="E83" s="9" t="s">
        <v>187</v>
      </c>
      <c r="F83" s="10" t="s">
        <v>727</v>
      </c>
      <c r="G83" s="9" t="s">
        <v>44</v>
      </c>
      <c r="H83" s="9" t="s">
        <v>45</v>
      </c>
      <c r="I83" s="9" t="s">
        <v>213</v>
      </c>
      <c r="J83" s="11">
        <v>45978.0</v>
      </c>
      <c r="K83" s="12">
        <v>8000.0</v>
      </c>
      <c r="L83" s="9">
        <v>11.0</v>
      </c>
      <c r="M83" s="12">
        <v>867.27</v>
      </c>
      <c r="N83" s="9">
        <v>7.0</v>
      </c>
      <c r="O83" s="12">
        <v>2601.81</v>
      </c>
      <c r="P83" s="12">
        <v>130.09</v>
      </c>
      <c r="Q83" s="12">
        <v>3599.17</v>
      </c>
      <c r="R83" s="11">
        <v>46218.0</v>
      </c>
      <c r="S83" s="9">
        <v>77.0</v>
      </c>
      <c r="T83" s="9" t="s">
        <v>55</v>
      </c>
      <c r="U83" s="9" t="s">
        <v>56</v>
      </c>
      <c r="V8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('KM-L-0082', 'KB-10081', 'Neo', 'Baitshepi', '+267 74 847 859', '2915', 'Gaborone Main Mall', 'Mmoloki Sebina', 'School Fees Loan', '2025-11-17', 8000, 11, 867.27, 7, 2601.81, 130.09, 3599.17, '2026-07-15', 77, 'In arrears', 'No');</v>
      </c>
    </row>
    <row r="84" ht="15.75" customHeight="1">
      <c r="A84" s="9" t="s">
        <v>367</v>
      </c>
      <c r="B84" s="9" t="s">
        <v>728</v>
      </c>
      <c r="C84" s="9" t="s">
        <v>513</v>
      </c>
      <c r="D84" s="9" t="s">
        <v>471</v>
      </c>
      <c r="E84" s="9" t="s">
        <v>729</v>
      </c>
      <c r="F84" s="10" t="s">
        <v>730</v>
      </c>
      <c r="G84" s="9" t="s">
        <v>374</v>
      </c>
      <c r="H84" s="9" t="s">
        <v>376</v>
      </c>
      <c r="I84" s="9" t="s">
        <v>47</v>
      </c>
      <c r="J84" s="11">
        <v>46134.0</v>
      </c>
      <c r="K84" s="12">
        <v>27000.0</v>
      </c>
      <c r="L84" s="9">
        <v>9.0</v>
      </c>
      <c r="M84" s="12">
        <v>3540.0</v>
      </c>
      <c r="N84" s="9">
        <v>5.0</v>
      </c>
      <c r="O84" s="12">
        <v>0.0</v>
      </c>
      <c r="P84" s="12">
        <v>0.0</v>
      </c>
      <c r="Q84" s="12">
        <v>14160.0</v>
      </c>
      <c r="R84" s="11">
        <v>46305.0</v>
      </c>
      <c r="S84" s="9">
        <v>0.0</v>
      </c>
      <c r="T84" s="9" t="s">
        <v>188</v>
      </c>
      <c r="U84" s="9" t="s">
        <v>56</v>
      </c>
      <c r="V8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('KM-L-0083', 'KB-10082', 'Onalenna', 'Dikgang', '+267 74 743 388', '4252', 'Mogoditshane', 'Lorato Keakile', 'Small Business Loan', '2026-04-22', 27000, 9, 3540, 5, 0, 0, 14160, '2026-10-10', 0, 'Current', 'No');</v>
      </c>
    </row>
    <row r="85" ht="15.75" customHeight="1">
      <c r="A85" s="9" t="s">
        <v>731</v>
      </c>
      <c r="B85" s="9" t="s">
        <v>732</v>
      </c>
      <c r="C85" s="9" t="s">
        <v>266</v>
      </c>
      <c r="D85" s="9" t="s">
        <v>533</v>
      </c>
      <c r="E85" s="9" t="s">
        <v>733</v>
      </c>
      <c r="F85" s="10" t="s">
        <v>734</v>
      </c>
      <c r="G85" s="9" t="s">
        <v>374</v>
      </c>
      <c r="H85" s="9" t="s">
        <v>376</v>
      </c>
      <c r="I85" s="9" t="s">
        <v>47</v>
      </c>
      <c r="J85" s="11">
        <v>46008.0</v>
      </c>
      <c r="K85" s="12">
        <v>33000.0</v>
      </c>
      <c r="L85" s="9">
        <v>16.0</v>
      </c>
      <c r="M85" s="12">
        <v>2722.5</v>
      </c>
      <c r="N85" s="9">
        <v>9.0</v>
      </c>
      <c r="O85" s="12">
        <v>0.0</v>
      </c>
      <c r="P85" s="12">
        <v>0.0</v>
      </c>
      <c r="Q85" s="12">
        <v>19057.5</v>
      </c>
      <c r="R85" s="11">
        <v>46305.0</v>
      </c>
      <c r="S85" s="9">
        <v>0.0</v>
      </c>
      <c r="T85" s="9" t="s">
        <v>188</v>
      </c>
      <c r="U85" s="9" t="s">
        <v>56</v>
      </c>
      <c r="V8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('KM-L-0084', 'KB-10083', 'Boitumelo', 'Baitshepi', '+267 72 279 384', '2575', 'Mogoditshane', 'Lorato Keakile', 'Small Business Loan', '2025-12-17', 33000, 16, 2722.5, 9, 0, 0, 19057.5, '2026-10-10', 0, 'Current', 'No');</v>
      </c>
    </row>
    <row r="86" ht="15.75" customHeight="1">
      <c r="A86" s="9" t="s">
        <v>163</v>
      </c>
      <c r="B86" s="9" t="s">
        <v>735</v>
      </c>
      <c r="C86" s="9" t="s">
        <v>513</v>
      </c>
      <c r="D86" s="9" t="s">
        <v>480</v>
      </c>
      <c r="E86" s="9" t="s">
        <v>736</v>
      </c>
      <c r="F86" s="10" t="s">
        <v>737</v>
      </c>
      <c r="G86" s="9" t="s">
        <v>135</v>
      </c>
      <c r="H86" s="9" t="s">
        <v>137</v>
      </c>
      <c r="I86" s="9" t="s">
        <v>139</v>
      </c>
      <c r="J86" s="11">
        <v>46233.0</v>
      </c>
      <c r="K86" s="12">
        <v>16500.0</v>
      </c>
      <c r="L86" s="9">
        <v>3.0</v>
      </c>
      <c r="M86" s="12">
        <v>5912.5</v>
      </c>
      <c r="N86" s="9">
        <v>2.0</v>
      </c>
      <c r="O86" s="12">
        <v>0.0</v>
      </c>
      <c r="P86" s="12">
        <v>0.0</v>
      </c>
      <c r="Q86" s="12">
        <v>5912.5</v>
      </c>
      <c r="R86" s="11">
        <v>46320.0</v>
      </c>
      <c r="S86" s="9">
        <v>0.0</v>
      </c>
      <c r="T86" s="9" t="s">
        <v>188</v>
      </c>
      <c r="U86" s="9" t="s">
        <v>56</v>
      </c>
      <c r="V8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('KM-L-0085', 'KB-10084', 'Onalenna', 'Setlhare', '+267 76 669 690', '8353', 'Francistown', 'Olebile Moatlhodi', 'Salary Advance', '2026-07-30', 16500, 3, 5912.5, 2, 0, 0, 5912.5, '2026-10-25', 0, 'Current', 'No');</v>
      </c>
    </row>
    <row r="87" ht="15.75" customHeight="1">
      <c r="A87" s="9" t="s">
        <v>438</v>
      </c>
      <c r="B87" s="9" t="s">
        <v>738</v>
      </c>
      <c r="C87" s="9" t="s">
        <v>38</v>
      </c>
      <c r="D87" s="9" t="s">
        <v>549</v>
      </c>
      <c r="E87" s="9" t="s">
        <v>739</v>
      </c>
      <c r="F87" s="10" t="s">
        <v>740</v>
      </c>
      <c r="G87" s="9" t="s">
        <v>44</v>
      </c>
      <c r="H87" s="9" t="s">
        <v>323</v>
      </c>
      <c r="I87" s="9" t="s">
        <v>139</v>
      </c>
      <c r="J87" s="11">
        <v>46265.0</v>
      </c>
      <c r="K87" s="12">
        <v>15500.0</v>
      </c>
      <c r="L87" s="9">
        <v>5.0</v>
      </c>
      <c r="M87" s="12">
        <v>3487.5</v>
      </c>
      <c r="N87" s="9">
        <v>0.0</v>
      </c>
      <c r="O87" s="12">
        <v>3487.5</v>
      </c>
      <c r="P87" s="12">
        <v>0.0</v>
      </c>
      <c r="Q87" s="12">
        <v>17437.5</v>
      </c>
      <c r="R87" s="11">
        <v>46290.0</v>
      </c>
      <c r="S87" s="9">
        <v>5.0</v>
      </c>
      <c r="T87" s="9" t="s">
        <v>55</v>
      </c>
      <c r="U87" s="9" t="s">
        <v>56</v>
      </c>
      <c r="V8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('KM-L-0086', 'KB-10085', 'Amantle', 'Nthebolang', '+267 73 570 861', '6043', 'Gaborone Main Mall', 'Tshiamo Ntsima', 'Salary Advance', '2026-08-31', 15500, 5, 3487.5, 0, 3487.5, 0, 17437.5, '2026-09-25', 5, 'In arrears', 'No');</v>
      </c>
    </row>
    <row r="88" ht="15.75" customHeight="1">
      <c r="A88" s="9" t="s">
        <v>385</v>
      </c>
      <c r="B88" s="9" t="s">
        <v>741</v>
      </c>
      <c r="C88" s="9" t="s">
        <v>513</v>
      </c>
      <c r="D88" s="9" t="s">
        <v>742</v>
      </c>
      <c r="E88" s="9" t="s">
        <v>743</v>
      </c>
      <c r="F88" s="10" t="s">
        <v>744</v>
      </c>
      <c r="G88" s="9" t="s">
        <v>135</v>
      </c>
      <c r="H88" s="9" t="s">
        <v>137</v>
      </c>
      <c r="I88" s="9" t="s">
        <v>213</v>
      </c>
      <c r="J88" s="11">
        <v>46185.0</v>
      </c>
      <c r="K88" s="12">
        <v>8000.0</v>
      </c>
      <c r="L88" s="9">
        <v>8.0</v>
      </c>
      <c r="M88" s="12">
        <v>1140.0</v>
      </c>
      <c r="N88" s="9">
        <v>2.0</v>
      </c>
      <c r="O88" s="12">
        <v>1140.0</v>
      </c>
      <c r="P88" s="12">
        <v>57.0</v>
      </c>
      <c r="Q88" s="12">
        <v>6897.0</v>
      </c>
      <c r="R88" s="11">
        <v>46280.0</v>
      </c>
      <c r="S88" s="9">
        <v>15.0</v>
      </c>
      <c r="T88" s="9" t="s">
        <v>55</v>
      </c>
      <c r="U88" s="9" t="s">
        <v>56</v>
      </c>
      <c r="V8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('KM-L-0087', 'KB-10086', 'Onalenna', 'Sebego', '77208351', '4460', 'Francistown', 'Olebile Moatlhodi', 'School Fees Loan', '2026-06-12', 8000, 8, 1140, 2, 1140, 57, 6897, '2026-09-15', 15, 'In arrears', 'No');</v>
      </c>
    </row>
    <row r="89" ht="15.75" customHeight="1">
      <c r="A89" s="9" t="s">
        <v>745</v>
      </c>
      <c r="B89" s="9" t="s">
        <v>746</v>
      </c>
      <c r="C89" s="9" t="s">
        <v>572</v>
      </c>
      <c r="D89" s="9" t="s">
        <v>410</v>
      </c>
      <c r="E89" s="9" t="s">
        <v>747</v>
      </c>
      <c r="F89" s="10" t="s">
        <v>748</v>
      </c>
      <c r="G89" s="9" t="s">
        <v>374</v>
      </c>
      <c r="H89" s="9" t="s">
        <v>376</v>
      </c>
      <c r="I89" s="9" t="s">
        <v>213</v>
      </c>
      <c r="J89" s="11">
        <v>46168.0</v>
      </c>
      <c r="K89" s="12">
        <v>12000.0</v>
      </c>
      <c r="L89" s="9">
        <v>5.0</v>
      </c>
      <c r="M89" s="12">
        <v>2610.0</v>
      </c>
      <c r="N89" s="9">
        <v>4.0</v>
      </c>
      <c r="O89" s="12">
        <v>0.0</v>
      </c>
      <c r="P89" s="12">
        <v>0.0</v>
      </c>
      <c r="Q89" s="12">
        <v>2610.0</v>
      </c>
      <c r="R89" s="11">
        <v>46310.0</v>
      </c>
      <c r="S89" s="9">
        <v>0.0</v>
      </c>
      <c r="T89" s="9" t="s">
        <v>188</v>
      </c>
      <c r="U89" s="9" t="s">
        <v>56</v>
      </c>
      <c r="V8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('KM-L-0088', 'KB-10087', 'Keitumetse', 'Nkwe', '+267 72 805 229', '2373', 'Mogoditshane', 'Lorato Keakile', 'School Fees Loan', '2026-05-26', 12000, 5, 2610, 4, 0, 0, 2610, '2026-10-15', 0, 'Current', 'No');</v>
      </c>
    </row>
    <row r="90" ht="15.75" customHeight="1">
      <c r="A90" s="9" t="s">
        <v>749</v>
      </c>
      <c r="B90" s="9" t="s">
        <v>750</v>
      </c>
      <c r="C90" s="9" t="s">
        <v>679</v>
      </c>
      <c r="D90" s="9" t="s">
        <v>751</v>
      </c>
      <c r="E90" s="9" t="s">
        <v>752</v>
      </c>
      <c r="F90" s="10" t="s">
        <v>753</v>
      </c>
      <c r="G90" s="9" t="s">
        <v>135</v>
      </c>
      <c r="H90" s="9" t="s">
        <v>137</v>
      </c>
      <c r="I90" s="9" t="s">
        <v>47</v>
      </c>
      <c r="J90" s="11">
        <v>46183.0</v>
      </c>
      <c r="K90" s="12">
        <v>31500.0</v>
      </c>
      <c r="L90" s="9">
        <v>15.0</v>
      </c>
      <c r="M90" s="12">
        <v>2730.0</v>
      </c>
      <c r="N90" s="9">
        <v>3.0</v>
      </c>
      <c r="O90" s="12">
        <v>0.0</v>
      </c>
      <c r="P90" s="12">
        <v>0.0</v>
      </c>
      <c r="Q90" s="12">
        <v>32760.0</v>
      </c>
      <c r="R90" s="11">
        <v>46305.0</v>
      </c>
      <c r="S90" s="9">
        <v>0.0</v>
      </c>
      <c r="T90" s="9" t="s">
        <v>188</v>
      </c>
      <c r="U90" s="9" t="s">
        <v>56</v>
      </c>
      <c r="V9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('KM-L-0089', 'KB-10088', 'Pako', 'Mooketsi', '+267 76 119 224', '5164', 'Francistown', 'Olebile Moatlhodi', 'Small Business Loan', '2026-06-10', 31500, 15, 2730, 3, 0, 0, 32760, '2026-10-10', 0, 'Current', 'No');</v>
      </c>
    </row>
    <row r="91" ht="15.75" customHeight="1">
      <c r="A91" s="9" t="s">
        <v>754</v>
      </c>
      <c r="B91" s="9" t="s">
        <v>755</v>
      </c>
      <c r="C91" s="9" t="s">
        <v>756</v>
      </c>
      <c r="D91" s="9" t="s">
        <v>643</v>
      </c>
      <c r="E91" s="9" t="s">
        <v>757</v>
      </c>
      <c r="F91" s="10" t="s">
        <v>758</v>
      </c>
      <c r="G91" s="9" t="s">
        <v>210</v>
      </c>
      <c r="H91" s="9" t="s">
        <v>212</v>
      </c>
      <c r="I91" s="9" t="s">
        <v>47</v>
      </c>
      <c r="J91" s="11">
        <v>46210.0</v>
      </c>
      <c r="K91" s="12">
        <v>40500.0</v>
      </c>
      <c r="L91" s="9">
        <v>6.0</v>
      </c>
      <c r="M91" s="12">
        <v>7560.0</v>
      </c>
      <c r="N91" s="9">
        <v>2.0</v>
      </c>
      <c r="O91" s="12">
        <v>0.0</v>
      </c>
      <c r="P91" s="12">
        <v>0.0</v>
      </c>
      <c r="Q91" s="12">
        <v>30240.0</v>
      </c>
      <c r="R91" s="11">
        <v>46305.0</v>
      </c>
      <c r="S91" s="9">
        <v>0.0</v>
      </c>
      <c r="T91" s="9" t="s">
        <v>188</v>
      </c>
      <c r="U91" s="9" t="s">
        <v>56</v>
      </c>
      <c r="V9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('KM-L-0090', 'KB-10089', 'Oratile', 'Tlhalefang', '+267 77 038 374', '6296', 'Tlokweng', 'Bame Mokone', 'Small Business Loan', '2026-07-07', 40500, 6, 7560, 2, 0, 0, 30240, '2026-10-10', 0, 'Current', 'No');</v>
      </c>
    </row>
    <row r="92" ht="15.75" customHeight="1">
      <c r="A92" s="9" t="s">
        <v>759</v>
      </c>
      <c r="B92" s="9" t="s">
        <v>760</v>
      </c>
      <c r="C92" s="9" t="s">
        <v>761</v>
      </c>
      <c r="D92" s="9" t="s">
        <v>360</v>
      </c>
      <c r="E92" s="9" t="s">
        <v>762</v>
      </c>
      <c r="F92" s="10" t="s">
        <v>763</v>
      </c>
      <c r="G92" s="9" t="s">
        <v>210</v>
      </c>
      <c r="H92" s="9" t="s">
        <v>212</v>
      </c>
      <c r="I92" s="9" t="s">
        <v>47</v>
      </c>
      <c r="J92" s="11">
        <v>46245.0</v>
      </c>
      <c r="K92" s="12">
        <v>13500.0</v>
      </c>
      <c r="L92" s="9">
        <v>14.0</v>
      </c>
      <c r="M92" s="12">
        <v>1234.29</v>
      </c>
      <c r="N92" s="9">
        <v>1.0</v>
      </c>
      <c r="O92" s="12">
        <v>0.0</v>
      </c>
      <c r="P92" s="12">
        <v>0.0</v>
      </c>
      <c r="Q92" s="12">
        <v>16045.77</v>
      </c>
      <c r="R92" s="11">
        <v>46305.0</v>
      </c>
      <c r="S92" s="9">
        <v>0.0</v>
      </c>
      <c r="T92" s="9" t="s">
        <v>188</v>
      </c>
      <c r="U92" s="9" t="s">
        <v>56</v>
      </c>
      <c r="V92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('KM-L-0091', 'KB-10090', 'Kitso', 'Letsholo', '+267 74 548 927', '3487', 'Tlokweng', 'Bame Mokone', 'Small Business Loan', '2026-08-11', 13500, 14, 1234.29, 1, 0, 0, 16045.77, '2026-10-10', 0, 'Current', 'No');</v>
      </c>
    </row>
    <row r="93" ht="15.75" customHeight="1">
      <c r="A93" s="9" t="s">
        <v>121</v>
      </c>
      <c r="B93" s="9" t="s">
        <v>764</v>
      </c>
      <c r="C93" s="9" t="s">
        <v>633</v>
      </c>
      <c r="D93" s="9" t="s">
        <v>471</v>
      </c>
      <c r="E93" s="9" t="s">
        <v>765</v>
      </c>
      <c r="F93" s="10" t="s">
        <v>766</v>
      </c>
      <c r="G93" s="9" t="s">
        <v>44</v>
      </c>
      <c r="H93" s="9" t="s">
        <v>323</v>
      </c>
      <c r="I93" s="9" t="s">
        <v>47</v>
      </c>
      <c r="J93" s="11">
        <v>46246.0</v>
      </c>
      <c r="K93" s="12">
        <v>29000.0</v>
      </c>
      <c r="L93" s="9">
        <v>24.0</v>
      </c>
      <c r="M93" s="12">
        <v>1788.33</v>
      </c>
      <c r="N93" s="9">
        <v>1.0</v>
      </c>
      <c r="O93" s="12">
        <v>0.0</v>
      </c>
      <c r="P93" s="12">
        <v>0.0</v>
      </c>
      <c r="Q93" s="12">
        <v>41131.59</v>
      </c>
      <c r="R93" s="11">
        <v>46305.0</v>
      </c>
      <c r="S93" s="9">
        <v>0.0</v>
      </c>
      <c r="T93" s="9" t="s">
        <v>188</v>
      </c>
      <c r="U93" s="9" t="s">
        <v>56</v>
      </c>
      <c r="V9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('KM-L-0092', 'KB-10091', 'Kgomotso', 'Dikgang', '+267 75 601 239', '5117', 'Gaborone Main Mall', 'Tshiamo Ntsima', 'Small Business Loan', '2026-08-12', 29000, 24, 1788.33, 1, 0, 0, 41131.59, '2026-10-10', 0, 'Current', 'No');</v>
      </c>
    </row>
    <row r="94" ht="15.75" customHeight="1">
      <c r="A94" s="9" t="s">
        <v>767</v>
      </c>
      <c r="B94" s="9" t="s">
        <v>768</v>
      </c>
      <c r="C94" s="9" t="s">
        <v>769</v>
      </c>
      <c r="D94" s="9" t="s">
        <v>533</v>
      </c>
      <c r="E94" s="9" t="s">
        <v>770</v>
      </c>
      <c r="F94" s="10" t="s">
        <v>771</v>
      </c>
      <c r="G94" s="9" t="s">
        <v>374</v>
      </c>
      <c r="H94" s="9" t="s">
        <v>376</v>
      </c>
      <c r="I94" s="9" t="s">
        <v>213</v>
      </c>
      <c r="J94" s="11">
        <v>46220.0</v>
      </c>
      <c r="K94" s="12">
        <v>29500.0</v>
      </c>
      <c r="L94" s="9">
        <v>5.0</v>
      </c>
      <c r="M94" s="12">
        <v>6416.25</v>
      </c>
      <c r="N94" s="9">
        <v>2.0</v>
      </c>
      <c r="O94" s="12">
        <v>0.0</v>
      </c>
      <c r="P94" s="12">
        <v>0.0</v>
      </c>
      <c r="Q94" s="12">
        <v>19248.75</v>
      </c>
      <c r="R94" s="11">
        <v>46310.0</v>
      </c>
      <c r="S94" s="9">
        <v>0.0</v>
      </c>
      <c r="T94" s="9" t="s">
        <v>188</v>
      </c>
      <c r="U94" s="9" t="s">
        <v>56</v>
      </c>
      <c r="V9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('KM-L-0093', 'KB-10092', 'Motheo', 'Baitshepi', '26774119154', '7927', 'Mogoditshane', 'Lorato Keakile', 'School Fees Loan', '2026-07-17', 29500, 5, 6416.25, 2, 0, 0, 19248.75, '2026-10-15', 0, 'Current', 'No');</v>
      </c>
    </row>
    <row r="95" ht="15.75" customHeight="1">
      <c r="A95" s="9" t="s">
        <v>440</v>
      </c>
      <c r="B95" s="9" t="s">
        <v>772</v>
      </c>
      <c r="C95" s="9" t="s">
        <v>623</v>
      </c>
      <c r="D95" s="9" t="s">
        <v>751</v>
      </c>
      <c r="E95" s="9" t="s">
        <v>773</v>
      </c>
      <c r="F95" s="10" t="s">
        <v>774</v>
      </c>
      <c r="G95" s="9" t="s">
        <v>374</v>
      </c>
      <c r="H95" s="9" t="s">
        <v>376</v>
      </c>
      <c r="I95" s="9" t="s">
        <v>139</v>
      </c>
      <c r="J95" s="11">
        <v>46133.0</v>
      </c>
      <c r="K95" s="12">
        <v>16500.0</v>
      </c>
      <c r="L95" s="9">
        <v>10.0</v>
      </c>
      <c r="M95" s="12">
        <v>2062.5</v>
      </c>
      <c r="N95" s="9">
        <v>2.0</v>
      </c>
      <c r="O95" s="12">
        <v>6187.5</v>
      </c>
      <c r="P95" s="12">
        <v>206.25</v>
      </c>
      <c r="Q95" s="12">
        <v>16706.25</v>
      </c>
      <c r="R95" s="11">
        <v>46228.0</v>
      </c>
      <c r="S95" s="9">
        <v>67.0</v>
      </c>
      <c r="T95" s="9" t="s">
        <v>55</v>
      </c>
      <c r="U95" s="9" t="s">
        <v>56</v>
      </c>
      <c r="V9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('KM-L-0094', 'KB-10093', 'Goitseone', 'Mooketsi', '+267 77 267 611', '1947', 'Mogoditshane', 'Lorato Keakile', 'Salary Advance', '2026-04-21', 16500, 10, 2062.5, 2, 6187.5, 206.25, 16706.25, '2026-07-25', 67, 'In arrears', 'No');</v>
      </c>
    </row>
    <row r="96" ht="15.75" customHeight="1">
      <c r="A96" s="9" t="s">
        <v>775</v>
      </c>
      <c r="B96" s="9" t="s">
        <v>776</v>
      </c>
      <c r="C96" s="9" t="s">
        <v>371</v>
      </c>
      <c r="D96" s="9" t="s">
        <v>435</v>
      </c>
      <c r="E96" s="9" t="s">
        <v>777</v>
      </c>
      <c r="F96" s="10" t="s">
        <v>778</v>
      </c>
      <c r="G96" s="9" t="s">
        <v>210</v>
      </c>
      <c r="H96" s="9" t="s">
        <v>212</v>
      </c>
      <c r="I96" s="9" t="s">
        <v>47</v>
      </c>
      <c r="J96" s="11">
        <v>46118.0</v>
      </c>
      <c r="K96" s="12">
        <v>14500.0</v>
      </c>
      <c r="L96" s="9">
        <v>10.0</v>
      </c>
      <c r="M96" s="12">
        <v>1740.0</v>
      </c>
      <c r="N96" s="9">
        <v>5.0</v>
      </c>
      <c r="O96" s="12">
        <v>0.0</v>
      </c>
      <c r="P96" s="12">
        <v>0.0</v>
      </c>
      <c r="Q96" s="12">
        <v>8700.0</v>
      </c>
      <c r="R96" s="11">
        <v>46305.0</v>
      </c>
      <c r="S96" s="9">
        <v>0.0</v>
      </c>
      <c r="T96" s="9" t="s">
        <v>188</v>
      </c>
      <c r="U96" s="9" t="s">
        <v>56</v>
      </c>
      <c r="V9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('KM-L-0095', 'KB-10094', 'Kagiso', 'Morake', '+267 75 404 796', '2180', 'Tlokweng', 'Bame Mokone', 'Small Business Loan', '2026-04-06', 14500, 10, 1740, 5, 0, 0, 8700, '2026-10-10', 0, 'Current', 'No');</v>
      </c>
    </row>
    <row r="97" ht="15.75" customHeight="1">
      <c r="A97" s="9" t="s">
        <v>428</v>
      </c>
      <c r="B97" s="9" t="s">
        <v>779</v>
      </c>
      <c r="C97" s="9" t="s">
        <v>317</v>
      </c>
      <c r="D97" s="9" t="s">
        <v>780</v>
      </c>
      <c r="E97" s="9" t="s">
        <v>781</v>
      </c>
      <c r="F97" s="10" t="s">
        <v>782</v>
      </c>
      <c r="G97" s="9" t="s">
        <v>44</v>
      </c>
      <c r="H97" s="9" t="s">
        <v>323</v>
      </c>
      <c r="I97" s="9" t="s">
        <v>139</v>
      </c>
      <c r="J97" s="11">
        <v>46236.0</v>
      </c>
      <c r="K97" s="12">
        <v>1500.0</v>
      </c>
      <c r="L97" s="9">
        <v>4.0</v>
      </c>
      <c r="M97" s="12">
        <v>412.5</v>
      </c>
      <c r="N97" s="9">
        <v>2.0</v>
      </c>
      <c r="O97" s="12">
        <v>0.0</v>
      </c>
      <c r="P97" s="12">
        <v>0.0</v>
      </c>
      <c r="Q97" s="12">
        <v>825.0</v>
      </c>
      <c r="R97" s="11">
        <v>46320.0</v>
      </c>
      <c r="S97" s="9">
        <v>0.0</v>
      </c>
      <c r="T97" s="9" t="s">
        <v>188</v>
      </c>
      <c r="U97" s="9" t="s">
        <v>56</v>
      </c>
      <c r="V9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('KM-L-0096', 'KB-10095', 'Phenyo', 'Maruping', '26773366223', '1483', 'Gaborone Main Mall', 'Tshiamo Ntsima', 'Salary Advance', '2026-08-02', 1500, 4, 412.5, 2, 0, 0, 825, '2026-10-25', 0, 'Current', 'No');</v>
      </c>
    </row>
    <row r="98" ht="15.75" customHeight="1">
      <c r="A98" s="9" t="s">
        <v>98</v>
      </c>
      <c r="B98" s="9" t="s">
        <v>783</v>
      </c>
      <c r="C98" s="9" t="s">
        <v>38</v>
      </c>
      <c r="D98" s="9" t="s">
        <v>410</v>
      </c>
      <c r="E98" s="9" t="s">
        <v>784</v>
      </c>
      <c r="F98" s="10" t="s">
        <v>785</v>
      </c>
      <c r="G98" s="9" t="s">
        <v>210</v>
      </c>
      <c r="H98" s="9" t="s">
        <v>212</v>
      </c>
      <c r="I98" s="9" t="s">
        <v>47</v>
      </c>
      <c r="J98" s="11">
        <v>46044.0</v>
      </c>
      <c r="K98" s="12">
        <v>8000.0</v>
      </c>
      <c r="L98" s="9">
        <v>15.0</v>
      </c>
      <c r="M98" s="12">
        <v>693.33</v>
      </c>
      <c r="N98" s="9">
        <v>6.0</v>
      </c>
      <c r="O98" s="12">
        <v>1386.66</v>
      </c>
      <c r="P98" s="12">
        <v>69.33</v>
      </c>
      <c r="Q98" s="12">
        <v>6309.3</v>
      </c>
      <c r="R98" s="11">
        <v>46244.0</v>
      </c>
      <c r="S98" s="9">
        <v>51.0</v>
      </c>
      <c r="T98" s="9" t="s">
        <v>55</v>
      </c>
      <c r="U98" s="9" t="s">
        <v>56</v>
      </c>
      <c r="V9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('KM-L-0097', 'KB-10096', 'Amantle', 'Nkwe', '+267 77 550 313', '5560', 'Tlokweng', 'Bame Mokone', 'Small Business Loan', '2026-01-22', 8000, 15, 693.33, 6, 1386.66, 69.33, 6309.3, '2026-08-10', 51, 'In arrears', 'No');</v>
      </c>
    </row>
    <row r="99" ht="15.75" customHeight="1">
      <c r="A99" s="9" t="s">
        <v>786</v>
      </c>
      <c r="B99" s="9" t="s">
        <v>787</v>
      </c>
      <c r="C99" s="9" t="s">
        <v>38</v>
      </c>
      <c r="D99" s="9" t="s">
        <v>480</v>
      </c>
      <c r="E99" s="9" t="s">
        <v>788</v>
      </c>
      <c r="F99" s="10" t="s">
        <v>789</v>
      </c>
      <c r="G99" s="9" t="s">
        <v>374</v>
      </c>
      <c r="H99" s="9" t="s">
        <v>376</v>
      </c>
      <c r="I99" s="9" t="s">
        <v>139</v>
      </c>
      <c r="J99" s="11">
        <v>46210.0</v>
      </c>
      <c r="K99" s="12">
        <v>7000.0</v>
      </c>
      <c r="L99" s="9">
        <v>4.0</v>
      </c>
      <c r="M99" s="12">
        <v>1925.0</v>
      </c>
      <c r="N99" s="9">
        <v>3.0</v>
      </c>
      <c r="O99" s="12">
        <v>0.0</v>
      </c>
      <c r="P99" s="12">
        <v>0.0</v>
      </c>
      <c r="Q99" s="12">
        <v>1925.0</v>
      </c>
      <c r="R99" s="11">
        <v>46320.0</v>
      </c>
      <c r="S99" s="9">
        <v>0.0</v>
      </c>
      <c r="T99" s="9" t="s">
        <v>188</v>
      </c>
      <c r="U99" s="9" t="s">
        <v>56</v>
      </c>
      <c r="V9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('KM-L-0098', 'KB-10097', 'Amantle', 'Setlhare', '26776226622', '1417', 'Mogoditshane', 'Lorato Keakile', 'Salary Advance', '2026-07-07', 7000, 4, 1925, 3, 0, 0, 1925, '2026-10-25', 0, 'Current', 'No');</v>
      </c>
    </row>
    <row r="100" ht="15.75" customHeight="1">
      <c r="A100" s="9" t="s">
        <v>790</v>
      </c>
      <c r="B100" s="9" t="s">
        <v>791</v>
      </c>
      <c r="C100" s="9" t="s">
        <v>769</v>
      </c>
      <c r="D100" s="9" t="s">
        <v>471</v>
      </c>
      <c r="E100" s="9" t="s">
        <v>792</v>
      </c>
      <c r="F100" s="10" t="s">
        <v>793</v>
      </c>
      <c r="G100" s="9" t="s">
        <v>374</v>
      </c>
      <c r="H100" s="9" t="s">
        <v>376</v>
      </c>
      <c r="I100" s="9" t="s">
        <v>139</v>
      </c>
      <c r="J100" s="11">
        <v>46206.0</v>
      </c>
      <c r="K100" s="12">
        <v>1500.0</v>
      </c>
      <c r="L100" s="9">
        <v>7.0</v>
      </c>
      <c r="M100" s="12">
        <v>251.79</v>
      </c>
      <c r="N100" s="9">
        <v>3.0</v>
      </c>
      <c r="O100" s="12">
        <v>0.0</v>
      </c>
      <c r="P100" s="12">
        <v>0.0</v>
      </c>
      <c r="Q100" s="12">
        <v>1007.16</v>
      </c>
      <c r="R100" s="11">
        <v>46320.0</v>
      </c>
      <c r="S100" s="9">
        <v>0.0</v>
      </c>
      <c r="T100" s="9" t="s">
        <v>188</v>
      </c>
      <c r="U100" s="9" t="s">
        <v>56</v>
      </c>
      <c r="V10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('KM-L-0099', 'KB-10098', 'Motheo', 'Dikgang', '+267 71 873 526', '2028', 'Mogoditshane', 'Lorato Keakile', 'Salary Advance', '2026-07-03', 1500, 7, 251.79, 3, 0, 0, 1007.16, '2026-10-25', 0, 'Current', 'No');</v>
      </c>
    </row>
    <row r="101" ht="15.75" customHeight="1">
      <c r="A101" s="9" t="s">
        <v>794</v>
      </c>
      <c r="B101" s="9" t="s">
        <v>795</v>
      </c>
      <c r="C101" s="9" t="s">
        <v>38</v>
      </c>
      <c r="D101" s="9" t="s">
        <v>643</v>
      </c>
      <c r="E101" s="9" t="s">
        <v>796</v>
      </c>
      <c r="F101" s="10" t="s">
        <v>797</v>
      </c>
      <c r="G101" s="9" t="s">
        <v>374</v>
      </c>
      <c r="H101" s="9" t="s">
        <v>376</v>
      </c>
      <c r="I101" s="9" t="s">
        <v>139</v>
      </c>
      <c r="J101" s="11">
        <v>46178.0</v>
      </c>
      <c r="K101" s="12">
        <v>2000.0</v>
      </c>
      <c r="L101" s="9">
        <v>8.0</v>
      </c>
      <c r="M101" s="12">
        <v>300.0</v>
      </c>
      <c r="N101" s="9">
        <v>4.0</v>
      </c>
      <c r="O101" s="12">
        <v>0.0</v>
      </c>
      <c r="P101" s="12">
        <v>0.0</v>
      </c>
      <c r="Q101" s="12">
        <v>1200.0</v>
      </c>
      <c r="R101" s="11">
        <v>46320.0</v>
      </c>
      <c r="S101" s="9">
        <v>0.0</v>
      </c>
      <c r="T101" s="9" t="s">
        <v>188</v>
      </c>
      <c r="U101" s="9" t="s">
        <v>56</v>
      </c>
      <c r="V10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('KM-L-0100', 'KB-10099', 'Amantle', 'Tlhalefang', '+267 71 381 515', '3885', 'Mogoditshane', 'Lorato Keakile', 'Salary Advance', '2026-06-05', 2000, 8, 300, 4, 0, 0, 1200, '2026-10-25', 0, 'Current', 'No');</v>
      </c>
    </row>
    <row r="102" ht="15.75" customHeight="1">
      <c r="A102" s="9" t="s">
        <v>325</v>
      </c>
      <c r="B102" s="9" t="s">
        <v>798</v>
      </c>
      <c r="C102" s="9" t="s">
        <v>409</v>
      </c>
      <c r="D102" s="9" t="s">
        <v>360</v>
      </c>
      <c r="E102" s="9" t="s">
        <v>799</v>
      </c>
      <c r="F102" s="10" t="s">
        <v>800</v>
      </c>
      <c r="G102" s="9" t="s">
        <v>374</v>
      </c>
      <c r="H102" s="9" t="s">
        <v>376</v>
      </c>
      <c r="I102" s="9" t="s">
        <v>213</v>
      </c>
      <c r="J102" s="11">
        <v>46254.0</v>
      </c>
      <c r="K102" s="12">
        <v>8500.0</v>
      </c>
      <c r="L102" s="9">
        <v>3.0</v>
      </c>
      <c r="M102" s="12">
        <v>2982.08</v>
      </c>
      <c r="N102" s="9">
        <v>0.0</v>
      </c>
      <c r="O102" s="12">
        <v>2982.08</v>
      </c>
      <c r="P102" s="12">
        <v>149.1</v>
      </c>
      <c r="Q102" s="12">
        <v>9095.34</v>
      </c>
      <c r="R102" s="11">
        <v>46280.0</v>
      </c>
      <c r="S102" s="9">
        <v>15.0</v>
      </c>
      <c r="T102" s="9" t="s">
        <v>55</v>
      </c>
      <c r="U102" s="9" t="s">
        <v>56</v>
      </c>
      <c r="V102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('KM-L-0101', 'KB-10100', 'Keabetswe', 'Letsholo', '+267 76 559 402', '2167', 'Mogoditshane', 'Lorato Keakile', 'School Fees Loan', '2026-08-20', 8500, 3, 2982.08, 0, 2982.08, 149.1, 9095.34, '2026-09-15', 15, 'In arrears', 'No');</v>
      </c>
    </row>
    <row r="103" ht="15.75" customHeight="1">
      <c r="A103" s="9" t="s">
        <v>801</v>
      </c>
      <c r="B103" s="9" t="s">
        <v>802</v>
      </c>
      <c r="C103" s="9" t="s">
        <v>421</v>
      </c>
      <c r="D103" s="9" t="s">
        <v>463</v>
      </c>
      <c r="E103" s="9" t="s">
        <v>803</v>
      </c>
      <c r="F103" s="10" t="s">
        <v>804</v>
      </c>
      <c r="G103" s="9" t="s">
        <v>374</v>
      </c>
      <c r="H103" s="9" t="s">
        <v>376</v>
      </c>
      <c r="I103" s="9" t="s">
        <v>47</v>
      </c>
      <c r="J103" s="11">
        <v>46126.0</v>
      </c>
      <c r="K103" s="12">
        <v>30500.0</v>
      </c>
      <c r="L103" s="9">
        <v>20.0</v>
      </c>
      <c r="M103" s="12">
        <v>2135.0</v>
      </c>
      <c r="N103" s="9">
        <v>5.0</v>
      </c>
      <c r="O103" s="12">
        <v>0.0</v>
      </c>
      <c r="P103" s="12">
        <v>0.0</v>
      </c>
      <c r="Q103" s="12">
        <v>32025.0</v>
      </c>
      <c r="R103" s="11">
        <v>46305.0</v>
      </c>
      <c r="S103" s="9">
        <v>0.0</v>
      </c>
      <c r="T103" s="9" t="s">
        <v>188</v>
      </c>
      <c r="U103" s="9" t="s">
        <v>56</v>
      </c>
      <c r="V10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('KM-L-0102', 'KB-10101', 'Tlotlo', 'Oagile', '+267 73 660 860', '0409', 'Mogoditshane', 'Lorato Keakile', 'Small Business Loan', '2026-04-14', 30500, 20, 2135, 5, 0, 0, 32025, '2026-10-10', 0, 'Current', 'No');</v>
      </c>
    </row>
    <row r="104" ht="15.75" customHeight="1">
      <c r="A104" s="9" t="s">
        <v>805</v>
      </c>
      <c r="B104" s="9" t="s">
        <v>806</v>
      </c>
      <c r="C104" s="9" t="s">
        <v>487</v>
      </c>
      <c r="D104" s="9" t="s">
        <v>435</v>
      </c>
      <c r="E104" s="9" t="s">
        <v>807</v>
      </c>
      <c r="F104" s="10" t="s">
        <v>808</v>
      </c>
      <c r="G104" s="9" t="s">
        <v>44</v>
      </c>
      <c r="H104" s="9" t="s">
        <v>45</v>
      </c>
      <c r="I104" s="9" t="s">
        <v>213</v>
      </c>
      <c r="J104" s="11">
        <v>46223.0</v>
      </c>
      <c r="K104" s="12">
        <v>27000.0</v>
      </c>
      <c r="L104" s="9">
        <v>4.0</v>
      </c>
      <c r="M104" s="12">
        <v>7222.5</v>
      </c>
      <c r="N104" s="9">
        <v>2.0</v>
      </c>
      <c r="O104" s="12">
        <v>0.0</v>
      </c>
      <c r="P104" s="12">
        <v>0.0</v>
      </c>
      <c r="Q104" s="12">
        <v>14445.0</v>
      </c>
      <c r="R104" s="11">
        <v>46310.0</v>
      </c>
      <c r="S104" s="9">
        <v>0.0</v>
      </c>
      <c r="T104" s="9" t="s">
        <v>188</v>
      </c>
      <c r="U104" s="9" t="s">
        <v>56</v>
      </c>
      <c r="V10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('KM-L-0103', 'KB-10102', 'Kealeboga', 'Morake', '+267 73 997 054', '0389', 'Gaborone Main Mall', 'Mmoloki Sebina', 'School Fees Loan', '2026-07-20', 27000, 4, 7222.5, 2, 0, 0, 14445, '2026-10-15', 0, 'Current', 'No');</v>
      </c>
    </row>
    <row r="105" ht="15.75" customHeight="1">
      <c r="A105" s="9" t="s">
        <v>809</v>
      </c>
      <c r="B105" s="9" t="s">
        <v>810</v>
      </c>
      <c r="C105" s="9" t="s">
        <v>594</v>
      </c>
      <c r="D105" s="9" t="s">
        <v>654</v>
      </c>
      <c r="E105" s="9" t="s">
        <v>811</v>
      </c>
      <c r="F105" s="10" t="s">
        <v>812</v>
      </c>
      <c r="G105" s="9" t="s">
        <v>135</v>
      </c>
      <c r="H105" s="9" t="s">
        <v>137</v>
      </c>
      <c r="I105" s="9" t="s">
        <v>139</v>
      </c>
      <c r="J105" s="11">
        <v>46199.0</v>
      </c>
      <c r="K105" s="12">
        <v>7000.0</v>
      </c>
      <c r="L105" s="9">
        <v>5.0</v>
      </c>
      <c r="M105" s="12">
        <v>1575.0</v>
      </c>
      <c r="N105" s="9">
        <v>3.0</v>
      </c>
      <c r="O105" s="12">
        <v>0.0</v>
      </c>
      <c r="P105" s="12">
        <v>0.0</v>
      </c>
      <c r="Q105" s="12">
        <v>3150.0</v>
      </c>
      <c r="R105" s="11">
        <v>46320.0</v>
      </c>
      <c r="S105" s="9">
        <v>0.0</v>
      </c>
      <c r="T105" s="9" t="s">
        <v>188</v>
      </c>
      <c r="U105" s="9" t="s">
        <v>56</v>
      </c>
      <c r="V10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('KM-L-0104', 'KB-10103', 'Mompati', 'Mosweu', '+267 77 557 692', '6353', 'Francistown', 'Olebile Moatlhodi', 'Salary Advance', '2026-06-26', 7000, 5, 1575, 3, 0, 0, 3150, '2026-10-25', 0, 'Current', 'No');</v>
      </c>
    </row>
    <row r="106" ht="15.75" customHeight="1">
      <c r="A106" s="9" t="s">
        <v>813</v>
      </c>
      <c r="B106" s="9" t="s">
        <v>814</v>
      </c>
      <c r="C106" s="9" t="s">
        <v>815</v>
      </c>
      <c r="D106" s="9" t="s">
        <v>624</v>
      </c>
      <c r="E106" s="9" t="s">
        <v>816</v>
      </c>
      <c r="F106" s="10" t="s">
        <v>817</v>
      </c>
      <c r="G106" s="9" t="s">
        <v>44</v>
      </c>
      <c r="H106" s="9" t="s">
        <v>323</v>
      </c>
      <c r="I106" s="9" t="s">
        <v>139</v>
      </c>
      <c r="J106" s="11">
        <v>46234.0</v>
      </c>
      <c r="K106" s="12">
        <v>17000.0</v>
      </c>
      <c r="L106" s="9">
        <v>4.0</v>
      </c>
      <c r="M106" s="12">
        <v>4675.0</v>
      </c>
      <c r="N106" s="9">
        <v>2.0</v>
      </c>
      <c r="O106" s="12">
        <v>0.0</v>
      </c>
      <c r="P106" s="12">
        <v>0.0</v>
      </c>
      <c r="Q106" s="12">
        <v>9350.0</v>
      </c>
      <c r="R106" s="11">
        <v>46320.0</v>
      </c>
      <c r="S106" s="9">
        <v>0.0</v>
      </c>
      <c r="T106" s="9" t="s">
        <v>188</v>
      </c>
      <c r="U106" s="9" t="s">
        <v>56</v>
      </c>
      <c r="V10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('KM-L-0105', 'KB-10104', 'Gaone', 'Rapoo', '+267 74 312 794', '5671', 'Gaborone Main Mall', 'Tshiamo Ntsima', 'Salary Advance', '2026-07-31', 17000, 4, 4675, 2, 0, 0, 9350, '2026-10-25', 0, 'Current', 'No');</v>
      </c>
    </row>
    <row r="107" ht="15.75" customHeight="1">
      <c r="A107" s="9" t="s">
        <v>404</v>
      </c>
      <c r="B107" s="9" t="s">
        <v>818</v>
      </c>
      <c r="C107" s="9" t="s">
        <v>572</v>
      </c>
      <c r="D107" s="9" t="s">
        <v>39</v>
      </c>
      <c r="E107" s="9" t="s">
        <v>819</v>
      </c>
      <c r="F107" s="10" t="s">
        <v>820</v>
      </c>
      <c r="G107" s="9" t="s">
        <v>374</v>
      </c>
      <c r="H107" s="9" t="s">
        <v>376</v>
      </c>
      <c r="I107" s="9" t="s">
        <v>47</v>
      </c>
      <c r="J107" s="11">
        <v>46158.0</v>
      </c>
      <c r="K107" s="12">
        <v>28500.0</v>
      </c>
      <c r="L107" s="9">
        <v>13.0</v>
      </c>
      <c r="M107" s="12">
        <v>2762.31</v>
      </c>
      <c r="N107" s="9">
        <v>1.0</v>
      </c>
      <c r="O107" s="12">
        <v>8286.93</v>
      </c>
      <c r="P107" s="12">
        <v>414.35</v>
      </c>
      <c r="Q107" s="12">
        <v>33562.07</v>
      </c>
      <c r="R107" s="11">
        <v>46213.0</v>
      </c>
      <c r="S107" s="9">
        <v>82.0</v>
      </c>
      <c r="T107" s="9" t="s">
        <v>55</v>
      </c>
      <c r="U107" s="9" t="s">
        <v>56</v>
      </c>
      <c r="V10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('KM-L-0106', 'KB-10105', 'Keitumetse', 'Modise', '74323984', '1068', 'Mogoditshane', 'Lorato Keakile', 'Small Business Loan', '2026-05-16', 28500, 13, 2762.31, 1, 8286.93, 414.35, 33562.07, '2026-07-10', 82, 'In arrears', 'No');</v>
      </c>
    </row>
    <row r="108" ht="15.75" customHeight="1">
      <c r="A108" s="9" t="s">
        <v>821</v>
      </c>
      <c r="B108" s="9" t="s">
        <v>822</v>
      </c>
      <c r="C108" s="9" t="s">
        <v>823</v>
      </c>
      <c r="D108" s="9" t="s">
        <v>360</v>
      </c>
      <c r="E108" s="9" t="s">
        <v>824</v>
      </c>
      <c r="F108" s="10" t="s">
        <v>825</v>
      </c>
      <c r="G108" s="9" t="s">
        <v>210</v>
      </c>
      <c r="H108" s="9" t="s">
        <v>212</v>
      </c>
      <c r="I108" s="9" t="s">
        <v>139</v>
      </c>
      <c r="J108" s="11">
        <v>46233.0</v>
      </c>
      <c r="K108" s="12">
        <v>13500.0</v>
      </c>
      <c r="L108" s="9">
        <v>4.0</v>
      </c>
      <c r="M108" s="12">
        <v>3712.5</v>
      </c>
      <c r="N108" s="9">
        <v>2.0</v>
      </c>
      <c r="O108" s="12">
        <v>0.0</v>
      </c>
      <c r="P108" s="12">
        <v>0.0</v>
      </c>
      <c r="Q108" s="12">
        <v>7425.0</v>
      </c>
      <c r="R108" s="11">
        <v>46320.0</v>
      </c>
      <c r="S108" s="9">
        <v>0.0</v>
      </c>
      <c r="T108" s="9" t="s">
        <v>188</v>
      </c>
      <c r="U108" s="9" t="s">
        <v>56</v>
      </c>
      <c r="V10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('KM-L-0107', 'KB-10106', 'Omphile', 'Letsholo', '+267 74 132 777', '4669', 'Tlokweng', 'Bame Mokone', 'Salary Advance', '2026-07-30', 13500, 4, 3712.5, 2, 0, 0, 7425, '2026-10-25', 0, 'Current', 'No');</v>
      </c>
    </row>
    <row r="109" ht="15.75" customHeight="1">
      <c r="A109" s="9" t="s">
        <v>406</v>
      </c>
      <c r="B109" s="9" t="s">
        <v>826</v>
      </c>
      <c r="C109" s="9" t="s">
        <v>594</v>
      </c>
      <c r="D109" s="9" t="s">
        <v>573</v>
      </c>
      <c r="E109" s="9" t="s">
        <v>827</v>
      </c>
      <c r="F109" s="10" t="s">
        <v>828</v>
      </c>
      <c r="G109" s="9" t="s">
        <v>210</v>
      </c>
      <c r="H109" s="9" t="s">
        <v>212</v>
      </c>
      <c r="I109" s="9" t="s">
        <v>139</v>
      </c>
      <c r="J109" s="11">
        <v>46232.0</v>
      </c>
      <c r="K109" s="12">
        <v>7000.0</v>
      </c>
      <c r="L109" s="9">
        <v>4.0</v>
      </c>
      <c r="M109" s="12">
        <v>1925.0</v>
      </c>
      <c r="N109" s="9">
        <v>1.0</v>
      </c>
      <c r="O109" s="12">
        <v>1925.0</v>
      </c>
      <c r="P109" s="12">
        <v>0.0</v>
      </c>
      <c r="Q109" s="12">
        <v>5775.0</v>
      </c>
      <c r="R109" s="11">
        <v>46290.0</v>
      </c>
      <c r="S109" s="9">
        <v>5.0</v>
      </c>
      <c r="T109" s="9" t="s">
        <v>55</v>
      </c>
      <c r="U109" s="9" t="s">
        <v>56</v>
      </c>
      <c r="V10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('KM-L-0108', 'KB-10107', 'Mompati', 'Segokgo', '+267 76 848 293', '5278', 'Tlokweng', 'Bame Mokone', 'Salary Advance', '2026-07-29', 7000, 4, 1925, 1, 1925, 0, 5775, '2026-09-25', 5, 'In arrears', 'No');</v>
      </c>
    </row>
    <row r="110" ht="15.75" customHeight="1">
      <c r="A110" s="9" t="s">
        <v>829</v>
      </c>
      <c r="B110" s="9" t="s">
        <v>830</v>
      </c>
      <c r="C110" s="9" t="s">
        <v>558</v>
      </c>
      <c r="D110" s="9" t="s">
        <v>654</v>
      </c>
      <c r="E110" s="9" t="s">
        <v>831</v>
      </c>
      <c r="F110" s="10" t="s">
        <v>832</v>
      </c>
      <c r="G110" s="9" t="s">
        <v>374</v>
      </c>
      <c r="H110" s="9" t="s">
        <v>376</v>
      </c>
      <c r="I110" s="9" t="s">
        <v>47</v>
      </c>
      <c r="J110" s="11">
        <v>46012.0</v>
      </c>
      <c r="K110" s="12">
        <v>59000.0</v>
      </c>
      <c r="L110" s="9">
        <v>16.0</v>
      </c>
      <c r="M110" s="12">
        <v>4867.5</v>
      </c>
      <c r="N110" s="9">
        <v>9.0</v>
      </c>
      <c r="O110" s="12">
        <v>0.0</v>
      </c>
      <c r="P110" s="12">
        <v>0.0</v>
      </c>
      <c r="Q110" s="12">
        <v>34072.5</v>
      </c>
      <c r="R110" s="11">
        <v>46305.0</v>
      </c>
      <c r="S110" s="9">
        <v>0.0</v>
      </c>
      <c r="T110" s="9" t="s">
        <v>188</v>
      </c>
      <c r="U110" s="9" t="s">
        <v>56</v>
      </c>
      <c r="V11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('KM-L-0109', 'KB-10108', 'Katlego', 'Mosweu', '26772214033', '5247', 'Mogoditshane', 'Lorato Keakile', 'Small Business Loan', '2025-12-21', 59000, 16, 4867.5, 9, 0, 0, 34072.5, '2026-10-10', 0, 'Current', 'No');</v>
      </c>
    </row>
    <row r="111" ht="15.75" customHeight="1">
      <c r="A111" s="9" t="s">
        <v>833</v>
      </c>
      <c r="B111" s="9" t="s">
        <v>834</v>
      </c>
      <c r="C111" s="9" t="s">
        <v>71</v>
      </c>
      <c r="D111" s="9" t="s">
        <v>480</v>
      </c>
      <c r="E111" s="9" t="s">
        <v>835</v>
      </c>
      <c r="F111" s="10" t="s">
        <v>836</v>
      </c>
      <c r="G111" s="9" t="s">
        <v>44</v>
      </c>
      <c r="H111" s="9" t="s">
        <v>45</v>
      </c>
      <c r="I111" s="9" t="s">
        <v>213</v>
      </c>
      <c r="J111" s="11">
        <v>46195.0</v>
      </c>
      <c r="K111" s="12">
        <v>18500.0</v>
      </c>
      <c r="L111" s="9">
        <v>4.0</v>
      </c>
      <c r="M111" s="12">
        <v>4948.75</v>
      </c>
      <c r="N111" s="9">
        <v>3.0</v>
      </c>
      <c r="O111" s="12">
        <v>0.0</v>
      </c>
      <c r="P111" s="12">
        <v>0.0</v>
      </c>
      <c r="Q111" s="12">
        <v>4948.75</v>
      </c>
      <c r="R111" s="11">
        <v>46310.0</v>
      </c>
      <c r="S111" s="9">
        <v>0.0</v>
      </c>
      <c r="T111" s="9" t="s">
        <v>188</v>
      </c>
      <c r="U111" s="9" t="s">
        <v>56</v>
      </c>
      <c r="V11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('KM-L-0110', 'KB-10109', 'Lorato', 'Setlhare', '+267 72 173 040', '5534', 'Gaborone Main Mall', 'Mmoloki Sebina', 'School Fees Loan', '2026-06-22', 18500, 4, 4948.75, 3, 0, 0, 4948.75, '2026-10-15', 0, 'Current', 'No');</v>
      </c>
    </row>
    <row r="112" ht="15.75" customHeight="1">
      <c r="A112" s="9" t="s">
        <v>837</v>
      </c>
      <c r="B112" s="9" t="s">
        <v>838</v>
      </c>
      <c r="C112" s="9" t="s">
        <v>527</v>
      </c>
      <c r="D112" s="9" t="s">
        <v>533</v>
      </c>
      <c r="E112" s="9" t="s">
        <v>839</v>
      </c>
      <c r="F112" s="10" t="s">
        <v>840</v>
      </c>
      <c r="G112" s="9" t="s">
        <v>135</v>
      </c>
      <c r="H112" s="9" t="s">
        <v>137</v>
      </c>
      <c r="I112" s="9" t="s">
        <v>47</v>
      </c>
      <c r="J112" s="11">
        <v>45849.0</v>
      </c>
      <c r="K112" s="12">
        <v>47500.0</v>
      </c>
      <c r="L112" s="9">
        <v>18.0</v>
      </c>
      <c r="M112" s="12">
        <v>3588.89</v>
      </c>
      <c r="N112" s="9">
        <v>14.0</v>
      </c>
      <c r="O112" s="12">
        <v>0.0</v>
      </c>
      <c r="P112" s="12">
        <v>0.0</v>
      </c>
      <c r="Q112" s="12">
        <v>14355.56</v>
      </c>
      <c r="R112" s="11">
        <v>46305.0</v>
      </c>
      <c r="S112" s="9">
        <v>0.0</v>
      </c>
      <c r="T112" s="9" t="s">
        <v>188</v>
      </c>
      <c r="U112" s="9" t="s">
        <v>56</v>
      </c>
      <c r="V112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('KM-L-0111', 'KB-10110', 'Naledi', 'Baitshepi', '+267 73 070 237', '0611', 'Francistown', 'Olebile Moatlhodi', 'Small Business Loan', '2025-07-11', 47500, 18, 3588.89, 14, 0, 0, 14355.56, '2026-10-10', 0, 'Current', 'No');</v>
      </c>
    </row>
    <row r="113" ht="15.75" customHeight="1">
      <c r="A113" s="9" t="s">
        <v>841</v>
      </c>
      <c r="B113" s="9" t="s">
        <v>842</v>
      </c>
      <c r="C113" s="9" t="s">
        <v>513</v>
      </c>
      <c r="D113" s="9" t="s">
        <v>843</v>
      </c>
      <c r="E113" s="9" t="s">
        <v>844</v>
      </c>
      <c r="F113" s="10" t="s">
        <v>845</v>
      </c>
      <c r="G113" s="9" t="s">
        <v>44</v>
      </c>
      <c r="H113" s="9" t="s">
        <v>323</v>
      </c>
      <c r="I113" s="9" t="s">
        <v>47</v>
      </c>
      <c r="J113" s="11">
        <v>45920.0</v>
      </c>
      <c r="K113" s="12">
        <v>44000.0</v>
      </c>
      <c r="L113" s="9">
        <v>24.0</v>
      </c>
      <c r="M113" s="12">
        <v>2713.33</v>
      </c>
      <c r="N113" s="9">
        <v>12.0</v>
      </c>
      <c r="O113" s="12">
        <v>0.0</v>
      </c>
      <c r="P113" s="12">
        <v>0.0</v>
      </c>
      <c r="Q113" s="12">
        <v>32559.96</v>
      </c>
      <c r="R113" s="11">
        <v>46305.0</v>
      </c>
      <c r="S113" s="9">
        <v>0.0</v>
      </c>
      <c r="T113" s="9" t="s">
        <v>188</v>
      </c>
      <c r="U113" s="9" t="s">
        <v>56</v>
      </c>
      <c r="V11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('KM-L-0112', 'KB-10111', 'Onalenna', 'Mbaakanyi', '+267 75 847 116', '4165', 'Gaborone Main Mall', 'Tshiamo Ntsima', 'Small Business Loan', '2025-09-20', 44000, 24, 2713.33, 12, 0, 0, 32559.96, '2026-10-10', 0, 'Current', 'No');</v>
      </c>
    </row>
    <row r="114" ht="15.75" customHeight="1">
      <c r="A114" s="9" t="s">
        <v>846</v>
      </c>
      <c r="B114" s="9" t="s">
        <v>847</v>
      </c>
      <c r="C114" s="9" t="s">
        <v>487</v>
      </c>
      <c r="D114" s="9" t="s">
        <v>354</v>
      </c>
      <c r="E114" s="9" t="s">
        <v>848</v>
      </c>
      <c r="F114" s="10" t="s">
        <v>849</v>
      </c>
      <c r="G114" s="9" t="s">
        <v>135</v>
      </c>
      <c r="H114" s="9" t="s">
        <v>137</v>
      </c>
      <c r="I114" s="9" t="s">
        <v>213</v>
      </c>
      <c r="J114" s="11">
        <v>46260.0</v>
      </c>
      <c r="K114" s="12">
        <v>9500.0</v>
      </c>
      <c r="L114" s="9">
        <v>3.0</v>
      </c>
      <c r="M114" s="12">
        <v>3332.92</v>
      </c>
      <c r="N114" s="9">
        <v>1.0</v>
      </c>
      <c r="O114" s="12">
        <v>0.0</v>
      </c>
      <c r="P114" s="12">
        <v>0.0</v>
      </c>
      <c r="Q114" s="12">
        <v>6665.84</v>
      </c>
      <c r="R114" s="11">
        <v>46310.0</v>
      </c>
      <c r="S114" s="9">
        <v>0.0</v>
      </c>
      <c r="T114" s="9" t="s">
        <v>188</v>
      </c>
      <c r="U114" s="9" t="s">
        <v>56</v>
      </c>
      <c r="V11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('KM-L-0113', 'KB-10112', 'Kealeboga', 'Kelaotswe', '+267 75 311 609', '9704', 'Francistown', 'Olebile Moatlhodi', 'School Fees Loan', '2026-08-26', 9500, 3, 3332.92, 1, 0, 0, 6665.84, '2026-10-15', 0, 'Current', 'No');</v>
      </c>
    </row>
    <row r="115" ht="15.75" customHeight="1">
      <c r="A115" s="9" t="s">
        <v>850</v>
      </c>
      <c r="B115" s="9" t="s">
        <v>851</v>
      </c>
      <c r="C115" s="9" t="s">
        <v>523</v>
      </c>
      <c r="D115" s="9" t="s">
        <v>654</v>
      </c>
      <c r="E115" s="9" t="s">
        <v>852</v>
      </c>
      <c r="F115" s="10" t="s">
        <v>853</v>
      </c>
      <c r="G115" s="9" t="s">
        <v>135</v>
      </c>
      <c r="H115" s="9" t="s">
        <v>137</v>
      </c>
      <c r="I115" s="9" t="s">
        <v>47</v>
      </c>
      <c r="J115" s="11">
        <v>45979.0</v>
      </c>
      <c r="K115" s="12">
        <v>32000.0</v>
      </c>
      <c r="L115" s="9">
        <v>21.0</v>
      </c>
      <c r="M115" s="12">
        <v>2163.81</v>
      </c>
      <c r="N115" s="9">
        <v>10.0</v>
      </c>
      <c r="O115" s="12">
        <v>0.0</v>
      </c>
      <c r="P115" s="12">
        <v>0.0</v>
      </c>
      <c r="Q115" s="12">
        <v>23801.91</v>
      </c>
      <c r="R115" s="11">
        <v>46305.0</v>
      </c>
      <c r="S115" s="9">
        <v>0.0</v>
      </c>
      <c r="T115" s="9" t="s">
        <v>188</v>
      </c>
      <c r="U115" s="9" t="s">
        <v>56</v>
      </c>
      <c r="V11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('KM-L-0114', 'KB-10113', 'Seabelo', 'Mosweu', '+267 71 271 577', '8030', 'Francistown', 'Olebile Moatlhodi', 'Small Business Loan', '2025-11-18', 32000, 21, 2163.81, 10, 0, 0, 23801.91, '2026-10-10', 0, 'Current', 'No');</v>
      </c>
    </row>
    <row r="116" ht="15.75" customHeight="1">
      <c r="A116" s="9" t="s">
        <v>854</v>
      </c>
      <c r="B116" s="9" t="s">
        <v>855</v>
      </c>
      <c r="C116" s="9" t="s">
        <v>462</v>
      </c>
      <c r="D116" s="9" t="s">
        <v>410</v>
      </c>
      <c r="E116" s="9" t="s">
        <v>856</v>
      </c>
      <c r="F116" s="10" t="s">
        <v>857</v>
      </c>
      <c r="G116" s="9" t="s">
        <v>44</v>
      </c>
      <c r="H116" s="9" t="s">
        <v>323</v>
      </c>
      <c r="I116" s="9" t="s">
        <v>213</v>
      </c>
      <c r="J116" s="11">
        <v>46197.0</v>
      </c>
      <c r="K116" s="12">
        <v>19500.0</v>
      </c>
      <c r="L116" s="9">
        <v>6.0</v>
      </c>
      <c r="M116" s="12">
        <v>3591.25</v>
      </c>
      <c r="N116" s="9">
        <v>3.0</v>
      </c>
      <c r="O116" s="12">
        <v>0.0</v>
      </c>
      <c r="P116" s="12">
        <v>0.0</v>
      </c>
      <c r="Q116" s="12">
        <v>10773.75</v>
      </c>
      <c r="R116" s="11">
        <v>46310.0</v>
      </c>
      <c r="S116" s="9">
        <v>0.0</v>
      </c>
      <c r="T116" s="9" t="s">
        <v>188</v>
      </c>
      <c r="U116" s="9" t="s">
        <v>56</v>
      </c>
      <c r="V11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('KM-L-0115', 'KB-10114', 'Lesego', 'Nkwe', '+267 76 436 188', '1411', 'Gaborone Main Mall', 'Tshiamo Ntsima', 'School Fees Loan', '2026-06-24', 19500, 6, 3591.25, 3, 0, 0, 10773.75, '2026-10-15', 0, 'Current', 'No');</v>
      </c>
    </row>
    <row r="117" ht="15.75" customHeight="1">
      <c r="A117" s="9" t="s">
        <v>858</v>
      </c>
      <c r="B117" s="9" t="s">
        <v>859</v>
      </c>
      <c r="C117" s="9" t="s">
        <v>860</v>
      </c>
      <c r="D117" s="9" t="s">
        <v>410</v>
      </c>
      <c r="E117" s="9" t="s">
        <v>861</v>
      </c>
      <c r="F117" s="10" t="s">
        <v>862</v>
      </c>
      <c r="G117" s="9" t="s">
        <v>44</v>
      </c>
      <c r="H117" s="9" t="s">
        <v>45</v>
      </c>
      <c r="I117" s="9" t="s">
        <v>139</v>
      </c>
      <c r="J117" s="11">
        <v>46148.0</v>
      </c>
      <c r="K117" s="12">
        <v>14000.0</v>
      </c>
      <c r="L117" s="9">
        <v>6.0</v>
      </c>
      <c r="M117" s="12">
        <v>2683.33</v>
      </c>
      <c r="N117" s="9">
        <v>5.0</v>
      </c>
      <c r="O117" s="12">
        <v>0.0</v>
      </c>
      <c r="P117" s="12">
        <v>0.0</v>
      </c>
      <c r="Q117" s="12">
        <v>2683.33</v>
      </c>
      <c r="R117" s="11">
        <v>46320.0</v>
      </c>
      <c r="S117" s="9">
        <v>0.0</v>
      </c>
      <c r="T117" s="9" t="s">
        <v>188</v>
      </c>
      <c r="U117" s="9" t="s">
        <v>56</v>
      </c>
      <c r="V11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('KM-L-0116', 'KB-10115', 'Mpho', 'Nkwe', '26775683077', '2616', 'Gaborone Main Mall', 'Mmoloki Sebina', 'Salary Advance', '2026-05-06', 14000, 6, 2683.33, 5, 0, 0, 2683.33, '2026-10-25', 0, 'Current', 'No');</v>
      </c>
    </row>
    <row r="118" ht="15.75" customHeight="1">
      <c r="A118" s="9" t="s">
        <v>863</v>
      </c>
      <c r="B118" s="9" t="s">
        <v>864</v>
      </c>
      <c r="C118" s="9" t="s">
        <v>392</v>
      </c>
      <c r="D118" s="9" t="s">
        <v>528</v>
      </c>
      <c r="E118" s="9" t="s">
        <v>865</v>
      </c>
      <c r="F118" s="10" t="s">
        <v>866</v>
      </c>
      <c r="G118" s="9" t="s">
        <v>210</v>
      </c>
      <c r="H118" s="9" t="s">
        <v>212</v>
      </c>
      <c r="I118" s="9" t="s">
        <v>213</v>
      </c>
      <c r="J118" s="11">
        <v>46197.0</v>
      </c>
      <c r="K118" s="12">
        <v>10000.0</v>
      </c>
      <c r="L118" s="9">
        <v>8.0</v>
      </c>
      <c r="M118" s="12">
        <v>1425.0</v>
      </c>
      <c r="N118" s="9">
        <v>3.0</v>
      </c>
      <c r="O118" s="12">
        <v>0.0</v>
      </c>
      <c r="P118" s="12">
        <v>0.0</v>
      </c>
      <c r="Q118" s="12">
        <v>7125.0</v>
      </c>
      <c r="R118" s="11">
        <v>46310.0</v>
      </c>
      <c r="S118" s="9">
        <v>0.0</v>
      </c>
      <c r="T118" s="9" t="s">
        <v>188</v>
      </c>
      <c r="U118" s="9" t="s">
        <v>56</v>
      </c>
      <c r="V11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('KM-L-0117', 'KB-10116', 'Olorato', 'Sechele', '+267 75 765 856', '0886', 'Tlokweng', 'Bame Mokone', 'School Fees Loan', '2026-06-24', 10000, 8, 1425, 3, 0, 0, 7125, '2026-10-15', 0, 'Current', 'No');</v>
      </c>
    </row>
    <row r="119" ht="15.75" customHeight="1">
      <c r="A119" s="9" t="s">
        <v>867</v>
      </c>
      <c r="B119" s="9" t="s">
        <v>868</v>
      </c>
      <c r="C119" s="9" t="s">
        <v>633</v>
      </c>
      <c r="D119" s="9" t="s">
        <v>354</v>
      </c>
      <c r="E119" s="9" t="s">
        <v>869</v>
      </c>
      <c r="F119" s="10" t="s">
        <v>870</v>
      </c>
      <c r="G119" s="9" t="s">
        <v>210</v>
      </c>
      <c r="H119" s="9" t="s">
        <v>212</v>
      </c>
      <c r="I119" s="9" t="s">
        <v>213</v>
      </c>
      <c r="J119" s="11">
        <v>46034.0</v>
      </c>
      <c r="K119" s="12">
        <v>24500.0</v>
      </c>
      <c r="L119" s="9">
        <v>11.0</v>
      </c>
      <c r="M119" s="12">
        <v>2656.02</v>
      </c>
      <c r="N119" s="9">
        <v>8.0</v>
      </c>
      <c r="O119" s="12">
        <v>0.0</v>
      </c>
      <c r="P119" s="12">
        <v>0.0</v>
      </c>
      <c r="Q119" s="12">
        <v>7968.06</v>
      </c>
      <c r="R119" s="11">
        <v>46310.0</v>
      </c>
      <c r="S119" s="9">
        <v>0.0</v>
      </c>
      <c r="T119" s="9" t="s">
        <v>188</v>
      </c>
      <c r="U119" s="9" t="s">
        <v>56</v>
      </c>
      <c r="V11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('KM-L-0118', 'KB-10117', 'Kgomotso', 'Kelaotswe', '+267 71 634 434', '0868', 'Tlokweng', 'Bame Mokone', 'School Fees Loan', '2026-01-12', 24500, 11, 2656.02, 8, 0, 0, 7968.06, '2026-10-15', 0, 'Current', 'No');</v>
      </c>
    </row>
    <row r="120" ht="15.75" customHeight="1">
      <c r="A120" s="9" t="s">
        <v>871</v>
      </c>
      <c r="B120" s="9" t="s">
        <v>872</v>
      </c>
      <c r="C120" s="9" t="s">
        <v>487</v>
      </c>
      <c r="D120" s="9" t="s">
        <v>705</v>
      </c>
      <c r="E120" s="9" t="s">
        <v>873</v>
      </c>
      <c r="F120" s="10" t="s">
        <v>874</v>
      </c>
      <c r="G120" s="9" t="s">
        <v>210</v>
      </c>
      <c r="H120" s="9" t="s">
        <v>212</v>
      </c>
      <c r="I120" s="9" t="s">
        <v>213</v>
      </c>
      <c r="J120" s="11">
        <v>46195.0</v>
      </c>
      <c r="K120" s="12">
        <v>13500.0</v>
      </c>
      <c r="L120" s="9">
        <v>9.0</v>
      </c>
      <c r="M120" s="12">
        <v>1736.25</v>
      </c>
      <c r="N120" s="9">
        <v>3.0</v>
      </c>
      <c r="O120" s="12">
        <v>0.0</v>
      </c>
      <c r="P120" s="12">
        <v>0.0</v>
      </c>
      <c r="Q120" s="12">
        <v>10417.5</v>
      </c>
      <c r="R120" s="11">
        <v>46310.0</v>
      </c>
      <c r="S120" s="9">
        <v>0.0</v>
      </c>
      <c r="T120" s="9" t="s">
        <v>188</v>
      </c>
      <c r="U120" s="9" t="s">
        <v>56</v>
      </c>
      <c r="V12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('KM-L-0119', 'KB-10118', 'Kealeboga', 'Gaetsewe', '26777403137', '7234', 'Tlokweng', 'Bame Mokone', 'School Fees Loan', '2026-06-22', 13500, 9, 1736.25, 3, 0, 0, 10417.5, '2026-10-15', 0, 'Current', 'No');</v>
      </c>
    </row>
    <row r="121" ht="15.75" customHeight="1">
      <c r="A121" s="9" t="s">
        <v>875</v>
      </c>
      <c r="B121" s="9" t="s">
        <v>876</v>
      </c>
      <c r="C121" s="9" t="s">
        <v>877</v>
      </c>
      <c r="D121" s="9" t="s">
        <v>533</v>
      </c>
      <c r="E121" s="9" t="s">
        <v>878</v>
      </c>
      <c r="F121" s="10" t="s">
        <v>800</v>
      </c>
      <c r="G121" s="9" t="s">
        <v>210</v>
      </c>
      <c r="H121" s="9" t="s">
        <v>212</v>
      </c>
      <c r="I121" s="9" t="s">
        <v>139</v>
      </c>
      <c r="J121" s="11">
        <v>46176.0</v>
      </c>
      <c r="K121" s="12">
        <v>5500.0</v>
      </c>
      <c r="L121" s="9">
        <v>6.0</v>
      </c>
      <c r="M121" s="12">
        <v>1054.17</v>
      </c>
      <c r="N121" s="9">
        <v>4.0</v>
      </c>
      <c r="O121" s="12">
        <v>0.0</v>
      </c>
      <c r="P121" s="12">
        <v>0.0</v>
      </c>
      <c r="Q121" s="12">
        <v>2108.34</v>
      </c>
      <c r="R121" s="11">
        <v>46320.0</v>
      </c>
      <c r="S121" s="9">
        <v>0.0</v>
      </c>
      <c r="T121" s="9" t="s">
        <v>188</v>
      </c>
      <c r="U121" s="9" t="s">
        <v>56</v>
      </c>
      <c r="V12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('KM-L-0120', 'KB-10119', 'Mothusi', 'Baitshepi', '+267 76 700 605', '2167', 'Tlokweng', 'Bame Mokone', 'Salary Advance', '2026-06-03', 5500, 6, 1054.17, 4, 0, 0, 2108.34, '2026-10-25', 0, 'Current', 'No');</v>
      </c>
    </row>
    <row r="122" ht="15.75" customHeight="1">
      <c r="A122" s="9" t="s">
        <v>879</v>
      </c>
      <c r="B122" s="9" t="s">
        <v>880</v>
      </c>
      <c r="C122" s="9" t="s">
        <v>487</v>
      </c>
      <c r="D122" s="9" t="s">
        <v>453</v>
      </c>
      <c r="E122" s="9" t="s">
        <v>881</v>
      </c>
      <c r="F122" s="10" t="s">
        <v>882</v>
      </c>
      <c r="G122" s="9" t="s">
        <v>135</v>
      </c>
      <c r="H122" s="9" t="s">
        <v>137</v>
      </c>
      <c r="I122" s="9" t="s">
        <v>139</v>
      </c>
      <c r="J122" s="11">
        <v>46261.0</v>
      </c>
      <c r="K122" s="12">
        <v>13500.0</v>
      </c>
      <c r="L122" s="9">
        <v>8.0</v>
      </c>
      <c r="M122" s="12">
        <v>2025.0</v>
      </c>
      <c r="N122" s="9">
        <v>1.0</v>
      </c>
      <c r="O122" s="12">
        <v>0.0</v>
      </c>
      <c r="P122" s="12">
        <v>0.0</v>
      </c>
      <c r="Q122" s="12">
        <v>14175.0</v>
      </c>
      <c r="R122" s="11">
        <v>46320.0</v>
      </c>
      <c r="S122" s="9">
        <v>0.0</v>
      </c>
      <c r="T122" s="9" t="s">
        <v>188</v>
      </c>
      <c r="U122" s="9" t="s">
        <v>56</v>
      </c>
      <c r="V122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('KM-L-0121', 'KB-10120', 'Kealeboga', 'Tau', '+267 73 730 551', '6409', 'Francistown', 'Olebile Moatlhodi', 'Salary Advance', '2026-08-27', 13500, 8, 2025, 1, 0, 0, 14175, '2026-10-25', 0, 'Current', 'No');</v>
      </c>
    </row>
    <row r="123" ht="15.75" customHeight="1">
      <c r="A123" s="9" t="s">
        <v>883</v>
      </c>
      <c r="B123" s="9" t="s">
        <v>884</v>
      </c>
      <c r="C123" s="9" t="s">
        <v>317</v>
      </c>
      <c r="D123" s="9" t="s">
        <v>39</v>
      </c>
      <c r="E123" s="9" t="s">
        <v>885</v>
      </c>
      <c r="F123" s="10" t="s">
        <v>886</v>
      </c>
      <c r="G123" s="9" t="s">
        <v>210</v>
      </c>
      <c r="H123" s="9" t="s">
        <v>212</v>
      </c>
      <c r="I123" s="9" t="s">
        <v>47</v>
      </c>
      <c r="J123" s="11">
        <v>46102.0</v>
      </c>
      <c r="K123" s="12">
        <v>27000.0</v>
      </c>
      <c r="L123" s="9">
        <v>11.0</v>
      </c>
      <c r="M123" s="12">
        <v>2994.55</v>
      </c>
      <c r="N123" s="9">
        <v>6.0</v>
      </c>
      <c r="O123" s="12">
        <v>0.0</v>
      </c>
      <c r="P123" s="12">
        <v>0.0</v>
      </c>
      <c r="Q123" s="12">
        <v>14972.75</v>
      </c>
      <c r="R123" s="11">
        <v>46305.0</v>
      </c>
      <c r="S123" s="9">
        <v>0.0</v>
      </c>
      <c r="T123" s="9" t="s">
        <v>188</v>
      </c>
      <c r="U123" s="9" t="s">
        <v>56</v>
      </c>
      <c r="V12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('KM-L-0122', 'KB-10121', 'Phenyo', 'Modise', '26774602337', '0077', 'Tlokweng', 'Bame Mokone', 'Small Business Loan', '2026-03-21', 27000, 11, 2994.55, 6, 0, 0, 14972.75, '2026-10-10', 0, 'Current', 'No');</v>
      </c>
    </row>
    <row r="124" ht="15.75" customHeight="1">
      <c r="A124" s="9" t="s">
        <v>887</v>
      </c>
      <c r="B124" s="9" t="s">
        <v>888</v>
      </c>
      <c r="C124" s="9" t="s">
        <v>679</v>
      </c>
      <c r="D124" s="9" t="s">
        <v>528</v>
      </c>
      <c r="E124" s="9" t="s">
        <v>889</v>
      </c>
      <c r="F124" s="10" t="s">
        <v>890</v>
      </c>
      <c r="G124" s="9" t="s">
        <v>44</v>
      </c>
      <c r="H124" s="9" t="s">
        <v>45</v>
      </c>
      <c r="I124" s="9" t="s">
        <v>47</v>
      </c>
      <c r="J124" s="11">
        <v>46221.0</v>
      </c>
      <c r="K124" s="12">
        <v>16000.0</v>
      </c>
      <c r="L124" s="9">
        <v>6.0</v>
      </c>
      <c r="M124" s="12">
        <v>2986.67</v>
      </c>
      <c r="N124" s="9">
        <v>2.0</v>
      </c>
      <c r="O124" s="12">
        <v>0.0</v>
      </c>
      <c r="P124" s="12">
        <v>0.0</v>
      </c>
      <c r="Q124" s="12">
        <v>11946.68</v>
      </c>
      <c r="R124" s="11">
        <v>46305.0</v>
      </c>
      <c r="S124" s="9">
        <v>0.0</v>
      </c>
      <c r="T124" s="9" t="s">
        <v>188</v>
      </c>
      <c r="U124" s="9" t="s">
        <v>56</v>
      </c>
      <c r="V12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('KM-L-0123', 'KB-10122', 'Pako', 'Sechele', '26774360807', '1966', 'Gaborone Main Mall', 'Mmoloki Sebina', 'Small Business Loan', '2026-07-18', 16000, 6, 2986.67, 2, 0, 0, 11946.68, '2026-10-10', 0, 'Current', 'No');</v>
      </c>
    </row>
    <row r="125" ht="15.75" customHeight="1">
      <c r="A125" s="9" t="s">
        <v>147</v>
      </c>
      <c r="B125" s="9" t="s">
        <v>891</v>
      </c>
      <c r="C125" s="9" t="s">
        <v>633</v>
      </c>
      <c r="D125" s="9" t="s">
        <v>344</v>
      </c>
      <c r="E125" s="9" t="s">
        <v>892</v>
      </c>
      <c r="F125" s="10" t="s">
        <v>893</v>
      </c>
      <c r="G125" s="9" t="s">
        <v>210</v>
      </c>
      <c r="H125" s="9" t="s">
        <v>212</v>
      </c>
      <c r="I125" s="9" t="s">
        <v>139</v>
      </c>
      <c r="J125" s="11">
        <v>46143.0</v>
      </c>
      <c r="K125" s="12">
        <v>11500.0</v>
      </c>
      <c r="L125" s="9">
        <v>8.0</v>
      </c>
      <c r="M125" s="12">
        <v>1725.0</v>
      </c>
      <c r="N125" s="9">
        <v>3.0</v>
      </c>
      <c r="O125" s="12">
        <v>3450.0</v>
      </c>
      <c r="P125" s="12">
        <v>86.25</v>
      </c>
      <c r="Q125" s="12">
        <v>8711.25</v>
      </c>
      <c r="R125" s="11">
        <v>46259.0</v>
      </c>
      <c r="S125" s="9">
        <v>36.0</v>
      </c>
      <c r="T125" s="9" t="s">
        <v>55</v>
      </c>
      <c r="U125" s="9" t="s">
        <v>56</v>
      </c>
      <c r="V12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('KM-L-0124', 'KB-10123', 'Kgomotso', 'Kgathi', '+267 72 001 266', '3970', 'Tlokweng', 'Bame Mokone', 'Salary Advance', '2026-05-01', 11500, 8, 1725, 3, 3450, 86.25, 8711.25, '2026-08-25', 36, 'In arrears', 'No');</v>
      </c>
    </row>
    <row r="126" ht="15.75" customHeight="1">
      <c r="A126" s="9" t="s">
        <v>232</v>
      </c>
      <c r="B126" s="9" t="s">
        <v>894</v>
      </c>
      <c r="C126" s="9" t="s">
        <v>761</v>
      </c>
      <c r="D126" s="9" t="s">
        <v>780</v>
      </c>
      <c r="E126" s="9" t="s">
        <v>895</v>
      </c>
      <c r="F126" s="10" t="s">
        <v>896</v>
      </c>
      <c r="G126" s="9" t="s">
        <v>44</v>
      </c>
      <c r="H126" s="9" t="s">
        <v>45</v>
      </c>
      <c r="I126" s="9" t="s">
        <v>47</v>
      </c>
      <c r="J126" s="11">
        <v>46184.0</v>
      </c>
      <c r="K126" s="12">
        <v>21000.0</v>
      </c>
      <c r="L126" s="9">
        <v>13.0</v>
      </c>
      <c r="M126" s="12">
        <v>2035.38</v>
      </c>
      <c r="N126" s="9">
        <v>2.0</v>
      </c>
      <c r="O126" s="12">
        <v>2035.38</v>
      </c>
      <c r="P126" s="12">
        <v>101.77</v>
      </c>
      <c r="Q126" s="12">
        <v>22490.95</v>
      </c>
      <c r="R126" s="11">
        <v>46275.0</v>
      </c>
      <c r="S126" s="9">
        <v>20.0</v>
      </c>
      <c r="T126" s="9" t="s">
        <v>55</v>
      </c>
      <c r="U126" s="9" t="s">
        <v>56</v>
      </c>
      <c r="V12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('KM-L-0125', 'KB-10124', 'Kitso', 'Maruping', '26775431109', '3756', 'Gaborone Main Mall', 'Mmoloki Sebina', 'Small Business Loan', '2026-06-11', 21000, 13, 2035.38, 2, 2035.38, 101.77, 22490.95, '2026-09-10', 20, 'In arrears', 'No');</v>
      </c>
    </row>
    <row r="127" ht="15.75" customHeight="1">
      <c r="A127" s="9" t="s">
        <v>426</v>
      </c>
      <c r="B127" s="9" t="s">
        <v>897</v>
      </c>
      <c r="C127" s="9" t="s">
        <v>492</v>
      </c>
      <c r="D127" s="9" t="s">
        <v>354</v>
      </c>
      <c r="E127" s="9" t="s">
        <v>898</v>
      </c>
      <c r="F127" s="10" t="s">
        <v>899</v>
      </c>
      <c r="G127" s="9" t="s">
        <v>210</v>
      </c>
      <c r="H127" s="9" t="s">
        <v>212</v>
      </c>
      <c r="I127" s="9" t="s">
        <v>213</v>
      </c>
      <c r="J127" s="11">
        <v>46137.0</v>
      </c>
      <c r="K127" s="12">
        <v>24000.0</v>
      </c>
      <c r="L127" s="9">
        <v>6.0</v>
      </c>
      <c r="M127" s="12">
        <v>4420.0</v>
      </c>
      <c r="N127" s="9">
        <v>5.0</v>
      </c>
      <c r="O127" s="12">
        <v>0.0</v>
      </c>
      <c r="P127" s="12">
        <v>0.0</v>
      </c>
      <c r="Q127" s="12">
        <v>4420.0</v>
      </c>
      <c r="R127" s="11">
        <v>46310.0</v>
      </c>
      <c r="S127" s="9">
        <v>0.0</v>
      </c>
      <c r="T127" s="9" t="s">
        <v>188</v>
      </c>
      <c r="U127" s="9" t="s">
        <v>56</v>
      </c>
      <c r="V12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('KM-L-0126', 'KB-10125', 'Kabelo', 'Kelaotswe', '+267 73 614 184', '8199', 'Tlokweng', 'Bame Mokone', 'School Fees Loan', '2026-04-25', 24000, 6, 4420, 5, 0, 0, 4420, '2026-10-15', 0, 'Current', 'No');</v>
      </c>
    </row>
    <row r="128" ht="15.75" customHeight="1">
      <c r="A128" s="9" t="s">
        <v>199</v>
      </c>
      <c r="B128" s="9" t="s">
        <v>900</v>
      </c>
      <c r="C128" s="9" t="s">
        <v>343</v>
      </c>
      <c r="D128" s="9" t="s">
        <v>643</v>
      </c>
      <c r="E128" s="9" t="s">
        <v>901</v>
      </c>
      <c r="F128" s="10" t="s">
        <v>902</v>
      </c>
      <c r="G128" s="9" t="s">
        <v>135</v>
      </c>
      <c r="H128" s="9" t="s">
        <v>137</v>
      </c>
      <c r="I128" s="9" t="s">
        <v>139</v>
      </c>
      <c r="J128" s="11">
        <v>46265.0</v>
      </c>
      <c r="K128" s="12">
        <v>7000.0</v>
      </c>
      <c r="L128" s="9">
        <v>5.0</v>
      </c>
      <c r="M128" s="12">
        <v>1575.0</v>
      </c>
      <c r="N128" s="9">
        <v>1.0</v>
      </c>
      <c r="O128" s="12">
        <v>0.0</v>
      </c>
      <c r="P128" s="12">
        <v>0.0</v>
      </c>
      <c r="Q128" s="12">
        <v>6300.0</v>
      </c>
      <c r="R128" s="11">
        <v>46320.0</v>
      </c>
      <c r="S128" s="9">
        <v>0.0</v>
      </c>
      <c r="T128" s="9" t="s">
        <v>188</v>
      </c>
      <c r="U128" s="9" t="s">
        <v>56</v>
      </c>
      <c r="V12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('KM-L-0127', 'KB-10126', 'Mmaserame', 'Tlhalefang', '+267 76 495 002', '6766', 'Francistown', 'Olebile Moatlhodi', 'Salary Advance', '2026-08-31', 7000, 5, 1575, 1, 0, 0, 6300, '2026-10-25', 0, 'Current', 'No');</v>
      </c>
    </row>
    <row r="129" ht="15.75" customHeight="1">
      <c r="A129" s="9" t="s">
        <v>903</v>
      </c>
      <c r="B129" s="9" t="s">
        <v>904</v>
      </c>
      <c r="C129" s="9" t="s">
        <v>487</v>
      </c>
      <c r="D129" s="9" t="s">
        <v>453</v>
      </c>
      <c r="E129" s="9" t="s">
        <v>905</v>
      </c>
      <c r="F129" s="10" t="s">
        <v>906</v>
      </c>
      <c r="G129" s="9" t="s">
        <v>135</v>
      </c>
      <c r="H129" s="9" t="s">
        <v>137</v>
      </c>
      <c r="I129" s="9" t="s">
        <v>139</v>
      </c>
      <c r="J129" s="11">
        <v>46241.0</v>
      </c>
      <c r="K129" s="12">
        <v>2000.0</v>
      </c>
      <c r="L129" s="9">
        <v>10.0</v>
      </c>
      <c r="M129" s="12">
        <v>250.0</v>
      </c>
      <c r="N129" s="9">
        <v>2.0</v>
      </c>
      <c r="O129" s="12">
        <v>0.0</v>
      </c>
      <c r="P129" s="12">
        <v>0.0</v>
      </c>
      <c r="Q129" s="12">
        <v>2000.0</v>
      </c>
      <c r="R129" s="11">
        <v>46320.0</v>
      </c>
      <c r="S129" s="9">
        <v>0.0</v>
      </c>
      <c r="T129" s="9" t="s">
        <v>188</v>
      </c>
      <c r="U129" s="9" t="s">
        <v>56</v>
      </c>
      <c r="V12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('KM-L-0128', 'KB-10127', 'Kealeboga', 'Tau', '+267 74 117 451', '3621', 'Francistown', 'Olebile Moatlhodi', 'Salary Advance', '2026-08-07', 2000, 10, 250, 2, 0, 0, 2000, '2026-10-25', 0, 'Current', 'No');</v>
      </c>
    </row>
    <row r="130" ht="15.75" customHeight="1">
      <c r="A130" s="9" t="s">
        <v>907</v>
      </c>
      <c r="B130" s="9" t="s">
        <v>908</v>
      </c>
      <c r="C130" s="9" t="s">
        <v>492</v>
      </c>
      <c r="D130" s="9" t="s">
        <v>518</v>
      </c>
      <c r="E130" s="9" t="s">
        <v>909</v>
      </c>
      <c r="F130" s="10" t="s">
        <v>910</v>
      </c>
      <c r="G130" s="9" t="s">
        <v>44</v>
      </c>
      <c r="H130" s="9" t="s">
        <v>45</v>
      </c>
      <c r="I130" s="9" t="s">
        <v>139</v>
      </c>
      <c r="J130" s="11">
        <v>46229.0</v>
      </c>
      <c r="K130" s="12">
        <v>12500.0</v>
      </c>
      <c r="L130" s="9">
        <v>11.0</v>
      </c>
      <c r="M130" s="12">
        <v>1448.86</v>
      </c>
      <c r="N130" s="9">
        <v>2.0</v>
      </c>
      <c r="O130" s="12">
        <v>0.0</v>
      </c>
      <c r="P130" s="12">
        <v>0.0</v>
      </c>
      <c r="Q130" s="12">
        <v>13039.74</v>
      </c>
      <c r="R130" s="11">
        <v>46320.0</v>
      </c>
      <c r="S130" s="9">
        <v>0.0</v>
      </c>
      <c r="T130" s="9" t="s">
        <v>188</v>
      </c>
      <c r="U130" s="9" t="s">
        <v>56</v>
      </c>
      <c r="V13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('KM-L-0129', 'KB-10128', 'Kabelo', 'Seleka', '+267 77 785 190', '2683', 'Gaborone Main Mall', 'Mmoloki Sebina', 'Salary Advance', '2026-07-26', 12500, 11, 1448.86, 2, 0, 0, 13039.74, '2026-10-25', 0, 'Current', 'No');</v>
      </c>
    </row>
    <row r="131" ht="15.75" customHeight="1">
      <c r="A131" s="9" t="s">
        <v>911</v>
      </c>
      <c r="B131" s="9" t="s">
        <v>912</v>
      </c>
      <c r="C131" s="9" t="s">
        <v>594</v>
      </c>
      <c r="D131" s="9" t="s">
        <v>533</v>
      </c>
      <c r="E131" s="9" t="s">
        <v>913</v>
      </c>
      <c r="F131" s="10" t="s">
        <v>914</v>
      </c>
      <c r="G131" s="9" t="s">
        <v>374</v>
      </c>
      <c r="H131" s="9" t="s">
        <v>376</v>
      </c>
      <c r="I131" s="9" t="s">
        <v>139</v>
      </c>
      <c r="J131" s="11">
        <v>46060.0</v>
      </c>
      <c r="K131" s="12">
        <v>4500.0</v>
      </c>
      <c r="L131" s="9">
        <v>9.0</v>
      </c>
      <c r="M131" s="12">
        <v>612.5</v>
      </c>
      <c r="N131" s="9">
        <v>8.0</v>
      </c>
      <c r="O131" s="12">
        <v>0.0</v>
      </c>
      <c r="P131" s="12">
        <v>0.0</v>
      </c>
      <c r="Q131" s="12">
        <v>612.5</v>
      </c>
      <c r="R131" s="11">
        <v>46320.0</v>
      </c>
      <c r="S131" s="9">
        <v>0.0</v>
      </c>
      <c r="T131" s="9" t="s">
        <v>188</v>
      </c>
      <c r="U131" s="9" t="s">
        <v>56</v>
      </c>
      <c r="V13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('KM-L-0130', 'KB-10129', 'Mompati', 'Baitshepi', '26776440931', '6711', 'Mogoditshane', 'Lorato Keakile', 'Salary Advance', '2026-02-07', 4500, 9, 612.5, 8, 0, 0, 612.5, '2026-10-25', 0, 'Current', 'No');</v>
      </c>
    </row>
    <row r="132" ht="15.75" customHeight="1">
      <c r="A132" s="9" t="s">
        <v>915</v>
      </c>
      <c r="B132" s="9" t="s">
        <v>916</v>
      </c>
      <c r="C132" s="9" t="s">
        <v>815</v>
      </c>
      <c r="D132" s="9" t="s">
        <v>435</v>
      </c>
      <c r="E132" s="9" t="s">
        <v>917</v>
      </c>
      <c r="F132" s="10" t="s">
        <v>918</v>
      </c>
      <c r="G132" s="9" t="s">
        <v>374</v>
      </c>
      <c r="H132" s="9" t="s">
        <v>376</v>
      </c>
      <c r="I132" s="9" t="s">
        <v>213</v>
      </c>
      <c r="J132" s="11">
        <v>46038.0</v>
      </c>
      <c r="K132" s="12">
        <v>26500.0</v>
      </c>
      <c r="L132" s="9">
        <v>11.0</v>
      </c>
      <c r="M132" s="12">
        <v>2872.84</v>
      </c>
      <c r="N132" s="9">
        <v>8.0</v>
      </c>
      <c r="O132" s="12">
        <v>0.0</v>
      </c>
      <c r="P132" s="12">
        <v>0.0</v>
      </c>
      <c r="Q132" s="12">
        <v>8618.52</v>
      </c>
      <c r="R132" s="11">
        <v>46310.0</v>
      </c>
      <c r="S132" s="9">
        <v>0.0</v>
      </c>
      <c r="T132" s="9" t="s">
        <v>457</v>
      </c>
      <c r="U132" s="9" t="s">
        <v>458</v>
      </c>
      <c r="V132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('KM-L-0131', 'KB-10130', 'Gaone', 'Morake', '+267 71 369 411', '2612', 'Mogoditshane', 'Lorato Keakile', 'School Fees Loan', '2026-01-16', 26500, 11, 2872.84, 8, 0, 0, 8618.52, '2026-10-15', 0, 'Restructured', 'Yes');</v>
      </c>
    </row>
    <row r="133" ht="15.75" customHeight="1">
      <c r="A133" s="9" t="s">
        <v>919</v>
      </c>
      <c r="B133" s="9" t="s">
        <v>920</v>
      </c>
      <c r="C133" s="9" t="s">
        <v>594</v>
      </c>
      <c r="D133" s="9" t="s">
        <v>480</v>
      </c>
      <c r="E133" s="9" t="s">
        <v>921</v>
      </c>
      <c r="F133" s="10" t="s">
        <v>922</v>
      </c>
      <c r="G133" s="9" t="s">
        <v>374</v>
      </c>
      <c r="H133" s="9" t="s">
        <v>376</v>
      </c>
      <c r="I133" s="9" t="s">
        <v>139</v>
      </c>
      <c r="J133" s="11">
        <v>46239.0</v>
      </c>
      <c r="K133" s="12">
        <v>3500.0</v>
      </c>
      <c r="L133" s="9">
        <v>4.0</v>
      </c>
      <c r="M133" s="12">
        <v>962.5</v>
      </c>
      <c r="N133" s="9">
        <v>2.0</v>
      </c>
      <c r="O133" s="12">
        <v>0.0</v>
      </c>
      <c r="P133" s="12">
        <v>0.0</v>
      </c>
      <c r="Q133" s="12">
        <v>1925.0</v>
      </c>
      <c r="R133" s="11">
        <v>46320.0</v>
      </c>
      <c r="S133" s="9">
        <v>0.0</v>
      </c>
      <c r="T133" s="9" t="s">
        <v>188</v>
      </c>
      <c r="U133" s="9" t="s">
        <v>56</v>
      </c>
      <c r="V13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('KM-L-0132', 'KB-10131', 'Mompati', 'Setlhare', '+267 74 595 178', '3397', 'Mogoditshane', 'Lorato Keakile', 'Salary Advance', '2026-08-05', 3500, 4, 962.5, 2, 0, 0, 1925, '2026-10-25', 0, 'Current', 'No');</v>
      </c>
    </row>
    <row r="134" ht="15.75" customHeight="1">
      <c r="A134" s="9" t="s">
        <v>923</v>
      </c>
      <c r="B134" s="9" t="s">
        <v>924</v>
      </c>
      <c r="C134" s="9" t="s">
        <v>769</v>
      </c>
      <c r="D134" s="9" t="s">
        <v>480</v>
      </c>
      <c r="E134" s="9" t="s">
        <v>925</v>
      </c>
      <c r="F134" s="10" t="s">
        <v>926</v>
      </c>
      <c r="G134" s="9" t="s">
        <v>44</v>
      </c>
      <c r="H134" s="9" t="s">
        <v>323</v>
      </c>
      <c r="I134" s="9" t="s">
        <v>47</v>
      </c>
      <c r="J134" s="11">
        <v>46254.0</v>
      </c>
      <c r="K134" s="12">
        <v>23500.0</v>
      </c>
      <c r="L134" s="9">
        <v>24.0</v>
      </c>
      <c r="M134" s="12">
        <v>1449.17</v>
      </c>
      <c r="N134" s="9">
        <v>1.0</v>
      </c>
      <c r="O134" s="12">
        <v>0.0</v>
      </c>
      <c r="P134" s="12">
        <v>0.0</v>
      </c>
      <c r="Q134" s="12">
        <v>33330.91</v>
      </c>
      <c r="R134" s="11">
        <v>46305.0</v>
      </c>
      <c r="S134" s="9">
        <v>0.0</v>
      </c>
      <c r="T134" s="9" t="s">
        <v>188</v>
      </c>
      <c r="U134" s="9" t="s">
        <v>56</v>
      </c>
      <c r="V13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('KM-L-0133', 'KB-10132', 'Motheo', 'Setlhare', '26774747061', '9028', 'Gaborone Main Mall', 'Tshiamo Ntsima', 'Small Business Loan', '2026-08-20', 23500, 24, 1449.17, 1, 0, 0, 33330.91, '2026-10-10', 0, 'Current', 'No');</v>
      </c>
    </row>
    <row r="135" ht="15.75" customHeight="1">
      <c r="A135" s="9" t="s">
        <v>927</v>
      </c>
      <c r="B135" s="9" t="s">
        <v>928</v>
      </c>
      <c r="C135" s="9" t="s">
        <v>383</v>
      </c>
      <c r="D135" s="9" t="s">
        <v>929</v>
      </c>
      <c r="E135" s="9" t="s">
        <v>930</v>
      </c>
      <c r="F135" s="10" t="s">
        <v>931</v>
      </c>
      <c r="G135" s="9" t="s">
        <v>210</v>
      </c>
      <c r="H135" s="9" t="s">
        <v>212</v>
      </c>
      <c r="I135" s="9" t="s">
        <v>139</v>
      </c>
      <c r="J135" s="11">
        <v>46085.0</v>
      </c>
      <c r="K135" s="12">
        <v>2000.0</v>
      </c>
      <c r="L135" s="9">
        <v>11.0</v>
      </c>
      <c r="M135" s="12">
        <v>231.82</v>
      </c>
      <c r="N135" s="9">
        <v>7.0</v>
      </c>
      <c r="O135" s="12">
        <v>0.0</v>
      </c>
      <c r="P135" s="12">
        <v>0.0</v>
      </c>
      <c r="Q135" s="12">
        <v>927.28</v>
      </c>
      <c r="R135" s="11">
        <v>46320.0</v>
      </c>
      <c r="S135" s="9">
        <v>0.0</v>
      </c>
      <c r="T135" s="9" t="s">
        <v>188</v>
      </c>
      <c r="U135" s="9" t="s">
        <v>56</v>
      </c>
      <c r="V13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('KM-L-0134', 'KB-10133', 'Wame', 'Gabaake', '+267 74 681 077', '0790', 'Tlokweng', 'Bame Mokone', 'Salary Advance', '2026-03-04', 2000, 11, 231.82, 7, 0, 0, 927.28, '2026-10-25', 0, 'Current', 'No');</v>
      </c>
    </row>
    <row r="136" ht="15.75" customHeight="1">
      <c r="A136" s="9" t="s">
        <v>932</v>
      </c>
      <c r="B136" s="9" t="s">
        <v>933</v>
      </c>
      <c r="C136" s="9" t="s">
        <v>815</v>
      </c>
      <c r="D136" s="9" t="s">
        <v>480</v>
      </c>
      <c r="E136" s="9" t="s">
        <v>934</v>
      </c>
      <c r="F136" s="10" t="s">
        <v>935</v>
      </c>
      <c r="G136" s="9" t="s">
        <v>374</v>
      </c>
      <c r="H136" s="9" t="s">
        <v>376</v>
      </c>
      <c r="I136" s="9" t="s">
        <v>47</v>
      </c>
      <c r="J136" s="11">
        <v>46069.0</v>
      </c>
      <c r="K136" s="12">
        <v>40000.0</v>
      </c>
      <c r="L136" s="9">
        <v>13.0</v>
      </c>
      <c r="M136" s="12">
        <v>3876.92</v>
      </c>
      <c r="N136" s="9">
        <v>7.0</v>
      </c>
      <c r="O136" s="12">
        <v>0.0</v>
      </c>
      <c r="P136" s="12">
        <v>0.0</v>
      </c>
      <c r="Q136" s="12">
        <v>23261.52</v>
      </c>
      <c r="R136" s="11">
        <v>46305.0</v>
      </c>
      <c r="S136" s="9">
        <v>0.0</v>
      </c>
      <c r="T136" s="9" t="s">
        <v>188</v>
      </c>
      <c r="U136" s="9" t="s">
        <v>56</v>
      </c>
      <c r="V13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('KM-L-0135', 'KB-10134', 'Gaone', 'Setlhare', '+267 77 259 462', '5333', 'Mogoditshane', 'Lorato Keakile', 'Small Business Loan', '2026-02-16', 40000, 13, 3876.92, 7, 0, 0, 23261.52, '2026-10-10', 0, 'Current', 'No');</v>
      </c>
    </row>
    <row r="137" ht="15.75" customHeight="1">
      <c r="A137" s="9" t="s">
        <v>936</v>
      </c>
      <c r="B137" s="9" t="s">
        <v>937</v>
      </c>
      <c r="C137" s="9" t="s">
        <v>371</v>
      </c>
      <c r="D137" s="9" t="s">
        <v>780</v>
      </c>
      <c r="E137" s="9" t="s">
        <v>938</v>
      </c>
      <c r="F137" s="10" t="s">
        <v>939</v>
      </c>
      <c r="G137" s="9" t="s">
        <v>135</v>
      </c>
      <c r="H137" s="9" t="s">
        <v>137</v>
      </c>
      <c r="I137" s="9" t="s">
        <v>139</v>
      </c>
      <c r="J137" s="11">
        <v>46194.0</v>
      </c>
      <c r="K137" s="12">
        <v>11000.0</v>
      </c>
      <c r="L137" s="9">
        <v>6.0</v>
      </c>
      <c r="M137" s="12">
        <v>2108.33</v>
      </c>
      <c r="N137" s="9">
        <v>3.0</v>
      </c>
      <c r="O137" s="12">
        <v>0.0</v>
      </c>
      <c r="P137" s="12">
        <v>0.0</v>
      </c>
      <c r="Q137" s="12">
        <v>6324.99</v>
      </c>
      <c r="R137" s="11">
        <v>46320.0</v>
      </c>
      <c r="S137" s="9">
        <v>0.0</v>
      </c>
      <c r="T137" s="9" t="s">
        <v>188</v>
      </c>
      <c r="U137" s="9" t="s">
        <v>56</v>
      </c>
      <c r="V13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('KM-L-0136', 'KB-10135', 'Kagiso', 'Maruping', '71113567', '5885', 'Francistown', 'Olebile Moatlhodi', 'Salary Advance', '2026-06-21', 11000, 6, 2108.33, 3, 0, 0, 6324.99, '2026-10-25', 0, 'Current', 'No');</v>
      </c>
    </row>
    <row r="138" ht="15.75" customHeight="1">
      <c r="A138" s="9" t="s">
        <v>940</v>
      </c>
      <c r="B138" s="9" t="s">
        <v>941</v>
      </c>
      <c r="C138" s="9" t="s">
        <v>860</v>
      </c>
      <c r="D138" s="9" t="s">
        <v>533</v>
      </c>
      <c r="E138" s="9" t="s">
        <v>942</v>
      </c>
      <c r="F138" s="10" t="s">
        <v>943</v>
      </c>
      <c r="G138" s="9" t="s">
        <v>44</v>
      </c>
      <c r="H138" s="9" t="s">
        <v>323</v>
      </c>
      <c r="I138" s="9" t="s">
        <v>139</v>
      </c>
      <c r="J138" s="11">
        <v>46202.0</v>
      </c>
      <c r="K138" s="12">
        <v>8000.0</v>
      </c>
      <c r="L138" s="9">
        <v>6.0</v>
      </c>
      <c r="M138" s="12">
        <v>1533.33</v>
      </c>
      <c r="N138" s="9">
        <v>3.0</v>
      </c>
      <c r="O138" s="12">
        <v>0.0</v>
      </c>
      <c r="P138" s="12">
        <v>0.0</v>
      </c>
      <c r="Q138" s="12">
        <v>4599.99</v>
      </c>
      <c r="R138" s="11">
        <v>46320.0</v>
      </c>
      <c r="S138" s="9">
        <v>0.0</v>
      </c>
      <c r="T138" s="9" t="s">
        <v>188</v>
      </c>
      <c r="U138" s="9" t="s">
        <v>56</v>
      </c>
      <c r="V13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('KM-L-0137', 'KB-10136', 'Mpho', 'Baitshepi', '+267 72 284 449', '2632', 'Gaborone Main Mall', 'Tshiamo Ntsima', 'Salary Advance', '2026-06-29', 8000, 6, 1533.33, 3, 0, 0, 4599.99, '2026-10-25', 0, 'Current', 'No');</v>
      </c>
    </row>
    <row r="139" ht="15.75" customHeight="1">
      <c r="A139" s="9" t="s">
        <v>413</v>
      </c>
      <c r="B139" s="9" t="s">
        <v>944</v>
      </c>
      <c r="C139" s="9" t="s">
        <v>860</v>
      </c>
      <c r="D139" s="9" t="s">
        <v>549</v>
      </c>
      <c r="E139" s="9" t="s">
        <v>945</v>
      </c>
      <c r="F139" s="10" t="s">
        <v>946</v>
      </c>
      <c r="G139" s="9" t="s">
        <v>135</v>
      </c>
      <c r="H139" s="9" t="s">
        <v>137</v>
      </c>
      <c r="I139" s="9" t="s">
        <v>213</v>
      </c>
      <c r="J139" s="11">
        <v>46155.0</v>
      </c>
      <c r="K139" s="12">
        <v>16000.0</v>
      </c>
      <c r="L139" s="9">
        <v>10.0</v>
      </c>
      <c r="M139" s="12">
        <v>1880.0</v>
      </c>
      <c r="N139" s="9">
        <v>3.0</v>
      </c>
      <c r="O139" s="12">
        <v>1880.0</v>
      </c>
      <c r="P139" s="12">
        <v>94.0</v>
      </c>
      <c r="Q139" s="12">
        <v>13254.0</v>
      </c>
      <c r="R139" s="11">
        <v>46280.0</v>
      </c>
      <c r="S139" s="9">
        <v>15.0</v>
      </c>
      <c r="T139" s="9" t="s">
        <v>55</v>
      </c>
      <c r="U139" s="9" t="s">
        <v>56</v>
      </c>
      <c r="V13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('KM-L-0138', 'KB-10137', 'Mpho', 'Nthebolang', '+267 76 476 527', '6277', 'Francistown', 'Olebile Moatlhodi', 'School Fees Loan', '2026-05-13', 16000, 10, 1880, 3, 1880, 94, 13254, '2026-09-15', 15, 'In arrears', 'No');</v>
      </c>
    </row>
    <row r="140" ht="15.75" customHeight="1">
      <c r="A140" s="9" t="s">
        <v>947</v>
      </c>
      <c r="B140" s="9" t="s">
        <v>948</v>
      </c>
      <c r="C140" s="9" t="s">
        <v>487</v>
      </c>
      <c r="D140" s="9" t="s">
        <v>705</v>
      </c>
      <c r="E140" s="9" t="s">
        <v>949</v>
      </c>
      <c r="F140" s="10" t="s">
        <v>950</v>
      </c>
      <c r="G140" s="9" t="s">
        <v>135</v>
      </c>
      <c r="H140" s="9" t="s">
        <v>137</v>
      </c>
      <c r="I140" s="9" t="s">
        <v>47</v>
      </c>
      <c r="J140" s="11">
        <v>46069.0</v>
      </c>
      <c r="K140" s="12">
        <v>55000.0</v>
      </c>
      <c r="L140" s="9">
        <v>15.0</v>
      </c>
      <c r="M140" s="12">
        <v>4766.67</v>
      </c>
      <c r="N140" s="9">
        <v>7.0</v>
      </c>
      <c r="O140" s="12">
        <v>0.0</v>
      </c>
      <c r="P140" s="12">
        <v>0.0</v>
      </c>
      <c r="Q140" s="12">
        <v>38133.36</v>
      </c>
      <c r="R140" s="11">
        <v>46305.0</v>
      </c>
      <c r="S140" s="9">
        <v>0.0</v>
      </c>
      <c r="T140" s="9" t="s">
        <v>457</v>
      </c>
      <c r="U140" s="9" t="s">
        <v>458</v>
      </c>
      <c r="V14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('KM-L-0139', 'KB-10138', 'Kealeboga', 'Gaetsewe', '73104501', '9397', 'Francistown', 'Olebile Moatlhodi', 'Small Business Loan', '2026-02-16', 55000, 15, 4766.67, 7, 0, 0, 38133.36, '2026-10-10', 0, 'Restructured', 'Yes');</v>
      </c>
    </row>
    <row r="141" ht="15.75" customHeight="1">
      <c r="A141" s="9" t="s">
        <v>951</v>
      </c>
      <c r="B141" s="9" t="s">
        <v>952</v>
      </c>
      <c r="C141" s="9" t="s">
        <v>953</v>
      </c>
      <c r="D141" s="9" t="s">
        <v>518</v>
      </c>
      <c r="E141" s="9" t="s">
        <v>954</v>
      </c>
      <c r="F141" s="10" t="s">
        <v>955</v>
      </c>
      <c r="G141" s="9" t="s">
        <v>44</v>
      </c>
      <c r="H141" s="9" t="s">
        <v>45</v>
      </c>
      <c r="I141" s="9" t="s">
        <v>213</v>
      </c>
      <c r="J141" s="11">
        <v>46251.0</v>
      </c>
      <c r="K141" s="12">
        <v>7500.0</v>
      </c>
      <c r="L141" s="9">
        <v>5.0</v>
      </c>
      <c r="M141" s="12">
        <v>1631.25</v>
      </c>
      <c r="N141" s="9">
        <v>1.0</v>
      </c>
      <c r="O141" s="12">
        <v>0.0</v>
      </c>
      <c r="P141" s="12">
        <v>0.0</v>
      </c>
      <c r="Q141" s="12">
        <v>6525.0</v>
      </c>
      <c r="R141" s="11">
        <v>46310.0</v>
      </c>
      <c r="S141" s="9">
        <v>0.0</v>
      </c>
      <c r="T141" s="9" t="s">
        <v>188</v>
      </c>
      <c r="U141" s="9" t="s">
        <v>56</v>
      </c>
      <c r="V14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('KM-L-0140', 'KB-10139', 'Goabaone', 'Seleka', '+267 76 682 449', '0809', 'Gaborone Main Mall', 'Mmoloki Sebina', 'School Fees Loan', '2026-08-17', 7500, 5, 1631.25, 1, 0, 0, 6525, '2026-10-15', 0, 'Current', 'No');</v>
      </c>
    </row>
    <row r="142" ht="15.75" customHeight="1">
      <c r="A142" s="9" t="s">
        <v>219</v>
      </c>
      <c r="B142" s="9" t="s">
        <v>956</v>
      </c>
      <c r="C142" s="9" t="s">
        <v>71</v>
      </c>
      <c r="D142" s="9" t="s">
        <v>843</v>
      </c>
      <c r="E142" s="9" t="s">
        <v>957</v>
      </c>
      <c r="F142" s="10" t="s">
        <v>958</v>
      </c>
      <c r="G142" s="9" t="s">
        <v>135</v>
      </c>
      <c r="H142" s="9" t="s">
        <v>137</v>
      </c>
      <c r="I142" s="9" t="s">
        <v>47</v>
      </c>
      <c r="J142" s="11">
        <v>46101.0</v>
      </c>
      <c r="K142" s="12">
        <v>10000.0</v>
      </c>
      <c r="L142" s="9">
        <v>14.0</v>
      </c>
      <c r="M142" s="12">
        <v>914.29</v>
      </c>
      <c r="N142" s="9">
        <v>5.0</v>
      </c>
      <c r="O142" s="12">
        <v>914.29</v>
      </c>
      <c r="P142" s="12">
        <v>45.71</v>
      </c>
      <c r="Q142" s="12">
        <v>8274.32</v>
      </c>
      <c r="R142" s="11">
        <v>46275.0</v>
      </c>
      <c r="S142" s="9">
        <v>20.0</v>
      </c>
      <c r="T142" s="9" t="s">
        <v>55</v>
      </c>
      <c r="U142" s="9" t="s">
        <v>56</v>
      </c>
      <c r="V142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('KM-L-0141', 'KB-10140', 'Lorato', 'Mbaakanyi', '+267 72 859 218', '9321', 'Francistown', 'Olebile Moatlhodi', 'Small Business Loan', '2026-03-20', 10000, 14, 914.29, 5, 914.29, 45.71, 8274.32, '2026-09-10', 20, 'In arrears', 'No');</v>
      </c>
    </row>
    <row r="143" ht="15.75" customHeight="1">
      <c r="A143" s="9" t="s">
        <v>959</v>
      </c>
      <c r="B143" s="9" t="s">
        <v>960</v>
      </c>
      <c r="C143" s="9" t="s">
        <v>71</v>
      </c>
      <c r="D143" s="9" t="s">
        <v>360</v>
      </c>
      <c r="E143" s="9" t="s">
        <v>961</v>
      </c>
      <c r="F143" s="10" t="s">
        <v>962</v>
      </c>
      <c r="G143" s="9" t="s">
        <v>210</v>
      </c>
      <c r="H143" s="9" t="s">
        <v>212</v>
      </c>
      <c r="I143" s="9" t="s">
        <v>139</v>
      </c>
      <c r="J143" s="11">
        <v>46263.0</v>
      </c>
      <c r="K143" s="12">
        <v>9000.0</v>
      </c>
      <c r="L143" s="9">
        <v>11.0</v>
      </c>
      <c r="M143" s="12">
        <v>1043.18</v>
      </c>
      <c r="N143" s="9">
        <v>1.0</v>
      </c>
      <c r="O143" s="12">
        <v>0.0</v>
      </c>
      <c r="P143" s="12">
        <v>0.0</v>
      </c>
      <c r="Q143" s="12">
        <v>10431.8</v>
      </c>
      <c r="R143" s="11">
        <v>46320.0</v>
      </c>
      <c r="S143" s="9">
        <v>0.0</v>
      </c>
      <c r="T143" s="9" t="s">
        <v>188</v>
      </c>
      <c r="U143" s="9" t="s">
        <v>56</v>
      </c>
      <c r="V143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('KM-L-0142', 'KB-10141', 'Lorato', 'Letsholo', '26771091985', '3289', 'Tlokweng', 'Bame Mokone', 'Salary Advance', '2026-08-29', 9000, 11, 1043.18, 1, 0, 0, 10431.8, '2026-10-25', 0, 'Current', 'No');</v>
      </c>
    </row>
    <row r="144" ht="15.75" customHeight="1">
      <c r="A144" s="9" t="s">
        <v>963</v>
      </c>
      <c r="B144" s="9" t="s">
        <v>964</v>
      </c>
      <c r="C144" s="9" t="s">
        <v>769</v>
      </c>
      <c r="D144" s="9" t="s">
        <v>624</v>
      </c>
      <c r="E144" s="9" t="s">
        <v>965</v>
      </c>
      <c r="F144" s="10" t="s">
        <v>966</v>
      </c>
      <c r="G144" s="9" t="s">
        <v>374</v>
      </c>
      <c r="H144" s="9" t="s">
        <v>376</v>
      </c>
      <c r="I144" s="9" t="s">
        <v>213</v>
      </c>
      <c r="J144" s="11">
        <v>46226.0</v>
      </c>
      <c r="K144" s="12">
        <v>5500.0</v>
      </c>
      <c r="L144" s="9">
        <v>9.0</v>
      </c>
      <c r="M144" s="12">
        <v>707.36</v>
      </c>
      <c r="N144" s="9">
        <v>2.0</v>
      </c>
      <c r="O144" s="12">
        <v>0.0</v>
      </c>
      <c r="P144" s="12">
        <v>0.0</v>
      </c>
      <c r="Q144" s="12">
        <v>4951.52</v>
      </c>
      <c r="R144" s="11">
        <v>46310.0</v>
      </c>
      <c r="S144" s="9">
        <v>0.0</v>
      </c>
      <c r="T144" s="9" t="s">
        <v>188</v>
      </c>
      <c r="U144" s="9" t="s">
        <v>56</v>
      </c>
      <c r="V144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('KM-L-0143', 'KB-10142', 'Motheo', 'Rapoo', '+267 76 935 157', '9282', 'Mogoditshane', 'Lorato Keakile', 'School Fees Loan', '2026-07-23', 5500, 9, 707.36, 2, 0, 0, 4951.52, '2026-10-15', 0, 'Current', 'No');</v>
      </c>
    </row>
    <row r="145" ht="15.75" customHeight="1">
      <c r="A145" s="9" t="s">
        <v>967</v>
      </c>
      <c r="B145" s="9" t="s">
        <v>968</v>
      </c>
      <c r="C145" s="9" t="s">
        <v>953</v>
      </c>
      <c r="D145" s="9" t="s">
        <v>267</v>
      </c>
      <c r="E145" s="9" t="s">
        <v>969</v>
      </c>
      <c r="F145" s="10" t="s">
        <v>970</v>
      </c>
      <c r="G145" s="9" t="s">
        <v>374</v>
      </c>
      <c r="H145" s="9" t="s">
        <v>376</v>
      </c>
      <c r="I145" s="9" t="s">
        <v>47</v>
      </c>
      <c r="J145" s="11">
        <v>45975.0</v>
      </c>
      <c r="K145" s="12">
        <v>24000.0</v>
      </c>
      <c r="L145" s="9">
        <v>16.0</v>
      </c>
      <c r="M145" s="12">
        <v>1980.0</v>
      </c>
      <c r="N145" s="9">
        <v>10.0</v>
      </c>
      <c r="O145" s="12">
        <v>0.0</v>
      </c>
      <c r="P145" s="12">
        <v>0.0</v>
      </c>
      <c r="Q145" s="12">
        <v>11880.0</v>
      </c>
      <c r="R145" s="11">
        <v>46305.0</v>
      </c>
      <c r="S145" s="9">
        <v>0.0</v>
      </c>
      <c r="T145" s="9" t="s">
        <v>188</v>
      </c>
      <c r="U145" s="9" t="s">
        <v>56</v>
      </c>
      <c r="V145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('KM-L-0144', 'KB-10143', 'Goabaone', 'Mabote', '71293629', '6797', 'Mogoditshane', 'Lorato Keakile', 'Small Business Loan', '2025-11-14', 24000, 16, 1980, 10, 0, 0, 11880, '2026-10-10', 0, 'Current', 'No');</v>
      </c>
    </row>
    <row r="146" ht="15.75" customHeight="1">
      <c r="A146" s="9" t="s">
        <v>971</v>
      </c>
      <c r="B146" s="9" t="s">
        <v>972</v>
      </c>
      <c r="C146" s="9" t="s">
        <v>714</v>
      </c>
      <c r="D146" s="9" t="s">
        <v>573</v>
      </c>
      <c r="E146" s="9" t="s">
        <v>973</v>
      </c>
      <c r="F146" s="10" t="s">
        <v>974</v>
      </c>
      <c r="G146" s="9" t="s">
        <v>210</v>
      </c>
      <c r="H146" s="9" t="s">
        <v>212</v>
      </c>
      <c r="I146" s="9" t="s">
        <v>47</v>
      </c>
      <c r="J146" s="11">
        <v>46186.0</v>
      </c>
      <c r="K146" s="12">
        <v>25000.0</v>
      </c>
      <c r="L146" s="9">
        <v>16.0</v>
      </c>
      <c r="M146" s="12">
        <v>2062.5</v>
      </c>
      <c r="N146" s="9">
        <v>3.0</v>
      </c>
      <c r="O146" s="12">
        <v>0.0</v>
      </c>
      <c r="P146" s="12">
        <v>0.0</v>
      </c>
      <c r="Q146" s="12">
        <v>26812.5</v>
      </c>
      <c r="R146" s="11">
        <v>46305.0</v>
      </c>
      <c r="S146" s="9">
        <v>0.0</v>
      </c>
      <c r="T146" s="9" t="s">
        <v>188</v>
      </c>
      <c r="U146" s="9" t="s">
        <v>56</v>
      </c>
      <c r="V146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('KM-L-0145', 'KB-10144', 'Masego', 'Segokgo', '+267 73 248 458', '8287', 'Tlokweng', 'Bame Mokone', 'Small Business Loan', '2026-06-13', 25000, 16, 2062.5, 3, 0, 0, 26812.5, '2026-10-10', 0, 'Current', 'No');</v>
      </c>
    </row>
    <row r="147" ht="15.75" customHeight="1">
      <c r="A147" s="9" t="s">
        <v>975</v>
      </c>
      <c r="B147" s="9" t="s">
        <v>976</v>
      </c>
      <c r="C147" s="9" t="s">
        <v>383</v>
      </c>
      <c r="D147" s="9" t="s">
        <v>463</v>
      </c>
      <c r="E147" s="9" t="s">
        <v>977</v>
      </c>
      <c r="F147" s="10" t="s">
        <v>978</v>
      </c>
      <c r="G147" s="9" t="s">
        <v>210</v>
      </c>
      <c r="H147" s="9" t="s">
        <v>212</v>
      </c>
      <c r="I147" s="9" t="s">
        <v>47</v>
      </c>
      <c r="J147" s="11">
        <v>46248.0</v>
      </c>
      <c r="K147" s="12">
        <v>21000.0</v>
      </c>
      <c r="L147" s="9">
        <v>13.0</v>
      </c>
      <c r="M147" s="12">
        <v>2035.38</v>
      </c>
      <c r="N147" s="9">
        <v>1.0</v>
      </c>
      <c r="O147" s="12">
        <v>0.0</v>
      </c>
      <c r="P147" s="12">
        <v>0.0</v>
      </c>
      <c r="Q147" s="12">
        <v>24424.56</v>
      </c>
      <c r="R147" s="11">
        <v>46305.0</v>
      </c>
      <c r="S147" s="9">
        <v>0.0</v>
      </c>
      <c r="T147" s="9" t="s">
        <v>188</v>
      </c>
      <c r="U147" s="9" t="s">
        <v>56</v>
      </c>
      <c r="V147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('KM-L-0146', 'KB-10145', 'Wame', 'Oagile', '26772897814', '4269', 'Tlokweng', 'Bame Mokone', 'Small Business Loan', '2026-08-14', 21000, 13, 2035.38, 1, 0, 0, 24424.56, '2026-10-10', 0, 'Current', 'No');</v>
      </c>
    </row>
    <row r="148" ht="15.75" customHeight="1">
      <c r="A148" s="9" t="s">
        <v>979</v>
      </c>
      <c r="B148" s="9" t="s">
        <v>980</v>
      </c>
      <c r="C148" s="9" t="s">
        <v>170</v>
      </c>
      <c r="D148" s="9" t="s">
        <v>697</v>
      </c>
      <c r="E148" s="9" t="s">
        <v>981</v>
      </c>
      <c r="F148" s="10" t="s">
        <v>982</v>
      </c>
      <c r="G148" s="9" t="s">
        <v>374</v>
      </c>
      <c r="H148" s="9" t="s">
        <v>376</v>
      </c>
      <c r="I148" s="9" t="s">
        <v>139</v>
      </c>
      <c r="J148" s="11">
        <v>46144.0</v>
      </c>
      <c r="K148" s="12">
        <v>1000.0</v>
      </c>
      <c r="L148" s="9">
        <v>6.0</v>
      </c>
      <c r="M148" s="12">
        <v>191.67</v>
      </c>
      <c r="N148" s="9">
        <v>5.0</v>
      </c>
      <c r="O148" s="12">
        <v>0.0</v>
      </c>
      <c r="P148" s="12">
        <v>0.0</v>
      </c>
      <c r="Q148" s="12">
        <v>191.67</v>
      </c>
      <c r="R148" s="11">
        <v>46320.0</v>
      </c>
      <c r="S148" s="9">
        <v>0.0</v>
      </c>
      <c r="T148" s="9" t="s">
        <v>188</v>
      </c>
      <c r="U148" s="9" t="s">
        <v>56</v>
      </c>
      <c r="V148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('KM-L-0147', 'KB-10146', 'Obakeng', 'Koosimile', '26773764531', '2892', 'Mogoditshane', 'Lorato Keakile', 'Salary Advance', '2026-05-02', 1000, 6, 191.67, 5, 0, 0, 191.67, '2026-10-25', 0, 'Current', 'No');</v>
      </c>
    </row>
    <row r="149" ht="15.75" customHeight="1">
      <c r="A149" s="9" t="s">
        <v>397</v>
      </c>
      <c r="B149" s="9" t="s">
        <v>983</v>
      </c>
      <c r="C149" s="9" t="s">
        <v>409</v>
      </c>
      <c r="D149" s="9" t="s">
        <v>435</v>
      </c>
      <c r="E149" s="9" t="s">
        <v>333</v>
      </c>
      <c r="F149" s="10" t="s">
        <v>984</v>
      </c>
      <c r="G149" s="9" t="s">
        <v>210</v>
      </c>
      <c r="H149" s="9" t="s">
        <v>212</v>
      </c>
      <c r="I149" s="9" t="s">
        <v>213</v>
      </c>
      <c r="J149" s="11">
        <v>46195.0</v>
      </c>
      <c r="K149" s="12">
        <v>15000.0</v>
      </c>
      <c r="L149" s="9">
        <v>8.0</v>
      </c>
      <c r="M149" s="12">
        <v>2137.5</v>
      </c>
      <c r="N149" s="9">
        <v>1.0</v>
      </c>
      <c r="O149" s="12">
        <v>4275.0</v>
      </c>
      <c r="P149" s="12">
        <v>213.75</v>
      </c>
      <c r="Q149" s="12">
        <v>15176.25</v>
      </c>
      <c r="R149" s="11">
        <v>46249.0</v>
      </c>
      <c r="S149" s="9">
        <v>46.0</v>
      </c>
      <c r="T149" s="9" t="s">
        <v>55</v>
      </c>
      <c r="U149" s="9" t="s">
        <v>56</v>
      </c>
      <c r="V149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('KM-L-0148', 'KB-10147', 'Keabetswe', 'Morake', '+267 74 325 850', '8121', 'Tlokweng', 'Bame Mokone', 'School Fees Loan', '2026-06-22', 15000, 8, 2137.5, 1, 4275, 213.75, 15176.25, '2026-08-15', 46, 'In arrears', 'No');</v>
      </c>
    </row>
    <row r="150" ht="15.75" customHeight="1">
      <c r="A150" s="9" t="s">
        <v>393</v>
      </c>
      <c r="B150" s="9" t="s">
        <v>985</v>
      </c>
      <c r="C150" s="9" t="s">
        <v>503</v>
      </c>
      <c r="D150" s="9" t="s">
        <v>384</v>
      </c>
      <c r="E150" s="9" t="s">
        <v>986</v>
      </c>
      <c r="F150" s="10" t="s">
        <v>987</v>
      </c>
      <c r="G150" s="9" t="s">
        <v>210</v>
      </c>
      <c r="H150" s="9" t="s">
        <v>212</v>
      </c>
      <c r="I150" s="9" t="s">
        <v>139</v>
      </c>
      <c r="J150" s="11">
        <v>46143.0</v>
      </c>
      <c r="K150" s="12">
        <v>2000.0</v>
      </c>
      <c r="L150" s="9">
        <v>9.0</v>
      </c>
      <c r="M150" s="12">
        <v>272.22</v>
      </c>
      <c r="N150" s="9">
        <v>3.0</v>
      </c>
      <c r="O150" s="12">
        <v>544.44</v>
      </c>
      <c r="P150" s="12">
        <v>13.61</v>
      </c>
      <c r="Q150" s="12">
        <v>1646.93</v>
      </c>
      <c r="R150" s="11">
        <v>46259.0</v>
      </c>
      <c r="S150" s="9">
        <v>36.0</v>
      </c>
      <c r="T150" s="9" t="s">
        <v>55</v>
      </c>
      <c r="U150" s="9" t="s">
        <v>56</v>
      </c>
      <c r="V150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('KM-L-0149', 'KB-10148', 'Tshepo', 'Matlhare', '+267 76 292 170', '7893', 'Tlokweng', 'Bame Mokone', 'Salary Advance', '2026-05-01', 2000, 9, 272.22, 3, 544.44, 13.61, 1646.93, '2026-08-25', 36, 'In arrears', 'No');</v>
      </c>
    </row>
    <row r="151" ht="15.75" customHeight="1">
      <c r="A151" s="9" t="s">
        <v>988</v>
      </c>
      <c r="B151" s="9" t="s">
        <v>989</v>
      </c>
      <c r="C151" s="9" t="s">
        <v>38</v>
      </c>
      <c r="D151" s="9" t="s">
        <v>573</v>
      </c>
      <c r="E151" s="9" t="s">
        <v>990</v>
      </c>
      <c r="F151" s="10" t="s">
        <v>991</v>
      </c>
      <c r="G151" s="9" t="s">
        <v>44</v>
      </c>
      <c r="H151" s="9" t="s">
        <v>45</v>
      </c>
      <c r="I151" s="9" t="s">
        <v>139</v>
      </c>
      <c r="J151" s="11">
        <v>46241.0</v>
      </c>
      <c r="K151" s="12">
        <v>16500.0</v>
      </c>
      <c r="L151" s="9">
        <v>9.0</v>
      </c>
      <c r="M151" s="12">
        <v>2245.83</v>
      </c>
      <c r="N151" s="9">
        <v>2.0</v>
      </c>
      <c r="O151" s="12">
        <v>0.0</v>
      </c>
      <c r="P151" s="12">
        <v>0.0</v>
      </c>
      <c r="Q151" s="12">
        <v>15720.81</v>
      </c>
      <c r="R151" s="11">
        <v>46320.0</v>
      </c>
      <c r="S151" s="9">
        <v>0.0</v>
      </c>
      <c r="T151" s="9" t="s">
        <v>188</v>
      </c>
      <c r="U151" s="9" t="s">
        <v>56</v>
      </c>
      <c r="V151" s="13" t="str">
        <f t="shared" si="1"/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('KM-L-0150', 'KB-10149', 'Amantle', 'Segokgo', '+267 73 518 012', '8472', 'Gaborone Main Mall', 'Mmoloki Sebina', 'Salary Advance', '2026-08-07', 16500, 9, 2245.83, 2, 0, 0, 15720.81, '2026-10-25', 0, 'Current', 'No');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>
      <c r="A218" s="13" t="str">
        <f>"INSERT INTO loans (loan_id, borrower_id, first_name, last_name, phone, id_last4, branch, loan_officer, product, disbursed_on, principal_bwp, term_months, monthly_instalment_bwp, instalments_paid, arrears_bwp, penalties_bwp, outstanding_balance_bwp, next_d"&amp;"ue_date, days_overdue, status, payment_holiday_used) VALUES ('"&amp;A2&amp;"', '"&amp;B2&amp;"', '"&amp;C2&amp;"', '"&amp;D2&amp;"', '"&amp;E2&amp;"', '"&amp;F2&amp;"', '"&amp;G2&amp;"', '"&amp;H2&amp;"', '"&amp;I2&amp;"', '"&amp;J2&amp;"', "&amp;K2&amp;", "&amp;L2&amp;", "&amp;M2&amp;", "&amp;N2&amp;", "&amp;O2&amp;", "&amp;P2&amp;", "&amp;Q2&amp;", '"&amp;R2&amp;"', "&amp;S2&amp;", '"&amp;T2&amp;"', '"&amp;U2&amp;"');"</f>
        <v>INSERT INTO loans (loan_id, borrower_id, first_name, last_name, phone, id_last4, branch, loan_officer, product, disbursed_on, principal_bwp, term_months, monthly_instalment_bwp, instalments_paid, arrears_bwp, penalties_bwp, outstanding_balance_bwp, next_due_date, days_overdue, status, payment_holiday_used) VALUES ('KM-L-0001', 'KB-10001', 'Amantle', 'Modise', '+267 71 084 258', '4216', 'Gaborone Main Mall', 'Mmoloki Sebina', 'Small Business Loan', '46011', 23000, 15, 1993.33, 6, 5979.99, 299, 18238.97, '46213', 82, 'In arrears', 'No');</v>
      </c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15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7.0"/>
    <col customWidth="1" min="3" max="3" width="14.0"/>
    <col customWidth="1" min="4" max="4" width="17.0"/>
    <col customWidth="1" min="5" max="5" width="20.0"/>
    <col customWidth="1" min="6" max="6" width="24.0"/>
    <col customWidth="1" min="7" max="7" width="11.0"/>
    <col customWidth="1" min="8" max="26" width="8.71"/>
  </cols>
  <sheetData>
    <row r="1" ht="30.0" customHeight="1">
      <c r="A1" s="4" t="s">
        <v>58</v>
      </c>
      <c r="B1" s="4" t="s">
        <v>60</v>
      </c>
      <c r="C1" s="4" t="s">
        <v>62</v>
      </c>
      <c r="D1" s="4" t="s">
        <v>63</v>
      </c>
      <c r="E1" s="4" t="s">
        <v>65</v>
      </c>
      <c r="F1" s="4" t="s">
        <v>67</v>
      </c>
      <c r="G1" s="4" t="s">
        <v>68</v>
      </c>
    </row>
    <row r="2">
      <c r="A2" s="9" t="s">
        <v>72</v>
      </c>
      <c r="B2" s="9" t="s">
        <v>74</v>
      </c>
      <c r="C2" s="9" t="s">
        <v>76</v>
      </c>
      <c r="D2" s="10" t="s">
        <v>77</v>
      </c>
      <c r="E2" s="9" t="s">
        <v>78</v>
      </c>
      <c r="F2" s="9" t="s">
        <v>79</v>
      </c>
      <c r="G2" s="12">
        <v>7572.86</v>
      </c>
    </row>
    <row r="3">
      <c r="A3" s="9" t="s">
        <v>83</v>
      </c>
      <c r="B3" s="9" t="s">
        <v>85</v>
      </c>
      <c r="C3" s="9" t="s">
        <v>76</v>
      </c>
      <c r="D3" s="10" t="s">
        <v>86</v>
      </c>
      <c r="E3" s="9" t="s">
        <v>87</v>
      </c>
      <c r="F3" s="9" t="s">
        <v>88</v>
      </c>
      <c r="G3" s="12">
        <v>2266.67</v>
      </c>
    </row>
    <row r="4">
      <c r="A4" s="9" t="s">
        <v>91</v>
      </c>
      <c r="B4" s="9" t="s">
        <v>93</v>
      </c>
      <c r="C4" s="9" t="s">
        <v>76</v>
      </c>
      <c r="D4" s="10" t="s">
        <v>94</v>
      </c>
      <c r="E4" s="9" t="s">
        <v>96</v>
      </c>
      <c r="F4" s="9" t="s">
        <v>97</v>
      </c>
      <c r="G4" s="9" t="s">
        <v>99</v>
      </c>
    </row>
    <row r="5">
      <c r="A5" s="9" t="s">
        <v>102</v>
      </c>
      <c r="B5" s="9" t="s">
        <v>104</v>
      </c>
      <c r="C5" s="9" t="s">
        <v>76</v>
      </c>
      <c r="D5" s="10" t="s">
        <v>106</v>
      </c>
      <c r="E5" s="9" t="s">
        <v>107</v>
      </c>
      <c r="F5" s="9" t="s">
        <v>108</v>
      </c>
      <c r="G5" s="9" t="s">
        <v>109</v>
      </c>
    </row>
    <row r="6">
      <c r="A6" s="9" t="s">
        <v>111</v>
      </c>
      <c r="B6" s="9" t="s">
        <v>113</v>
      </c>
      <c r="C6" s="9" t="s">
        <v>114</v>
      </c>
      <c r="D6" s="10" t="s">
        <v>116</v>
      </c>
      <c r="E6" s="9" t="s">
        <v>117</v>
      </c>
      <c r="F6" s="9"/>
      <c r="G6" s="12">
        <v>1550.0</v>
      </c>
    </row>
    <row r="7">
      <c r="A7" s="9" t="s">
        <v>119</v>
      </c>
      <c r="B7" s="9" t="s">
        <v>120</v>
      </c>
      <c r="C7" s="9" t="s">
        <v>114</v>
      </c>
      <c r="D7" s="10" t="s">
        <v>126</v>
      </c>
      <c r="E7" s="9" t="s">
        <v>129</v>
      </c>
      <c r="F7" s="9" t="s">
        <v>131</v>
      </c>
      <c r="G7" s="12">
        <v>480.0</v>
      </c>
    </row>
    <row r="8">
      <c r="A8" s="9" t="s">
        <v>119</v>
      </c>
      <c r="B8" s="9" t="s">
        <v>136</v>
      </c>
      <c r="C8" s="9" t="s">
        <v>114</v>
      </c>
      <c r="D8" s="10" t="s">
        <v>126</v>
      </c>
      <c r="E8" s="9" t="s">
        <v>129</v>
      </c>
      <c r="F8" s="9" t="s">
        <v>131</v>
      </c>
      <c r="G8" s="12">
        <v>480.0</v>
      </c>
    </row>
    <row r="9">
      <c r="A9" s="9" t="s">
        <v>143</v>
      </c>
      <c r="B9" s="9" t="s">
        <v>144</v>
      </c>
      <c r="C9" s="9" t="s">
        <v>145</v>
      </c>
      <c r="D9" s="10"/>
      <c r="E9" s="9" t="s">
        <v>146</v>
      </c>
      <c r="F9" s="9" t="s">
        <v>148</v>
      </c>
      <c r="G9" s="9" t="s">
        <v>150</v>
      </c>
    </row>
    <row r="10">
      <c r="A10" s="9" t="s">
        <v>152</v>
      </c>
      <c r="B10" s="9" t="s">
        <v>153</v>
      </c>
      <c r="C10" s="9" t="s">
        <v>76</v>
      </c>
      <c r="D10" s="10" t="s">
        <v>154</v>
      </c>
      <c r="E10" s="9" t="s">
        <v>155</v>
      </c>
      <c r="F10" s="9"/>
      <c r="G10" s="12">
        <v>1880.0</v>
      </c>
    </row>
    <row r="11">
      <c r="A11" s="9" t="s">
        <v>152</v>
      </c>
      <c r="B11" s="9" t="s">
        <v>158</v>
      </c>
      <c r="C11" s="9" t="s">
        <v>76</v>
      </c>
      <c r="D11" s="10" t="s">
        <v>154</v>
      </c>
      <c r="E11" s="9" t="s">
        <v>155</v>
      </c>
      <c r="F11" s="9"/>
      <c r="G11" s="12">
        <v>1880.0</v>
      </c>
    </row>
    <row r="12">
      <c r="A12" s="9" t="s">
        <v>160</v>
      </c>
      <c r="B12" s="9" t="s">
        <v>161</v>
      </c>
      <c r="C12" s="9" t="s">
        <v>162</v>
      </c>
      <c r="D12" s="10" t="s">
        <v>164</v>
      </c>
      <c r="E12" s="9" t="s">
        <v>167</v>
      </c>
      <c r="F12" s="9" t="s">
        <v>169</v>
      </c>
      <c r="G12" s="9" t="s">
        <v>172</v>
      </c>
    </row>
    <row r="13">
      <c r="A13" s="9" t="s">
        <v>177</v>
      </c>
      <c r="B13" s="9" t="s">
        <v>178</v>
      </c>
      <c r="C13" s="9" t="s">
        <v>76</v>
      </c>
      <c r="D13" s="10" t="s">
        <v>179</v>
      </c>
      <c r="E13" s="9" t="s">
        <v>180</v>
      </c>
      <c r="F13" s="9" t="s">
        <v>181</v>
      </c>
      <c r="G13" s="9" t="s">
        <v>182</v>
      </c>
    </row>
    <row r="14">
      <c r="A14" s="9" t="s">
        <v>184</v>
      </c>
      <c r="B14" s="9" t="s">
        <v>186</v>
      </c>
      <c r="C14" s="9" t="s">
        <v>76</v>
      </c>
      <c r="D14" s="10" t="s">
        <v>187</v>
      </c>
      <c r="E14" s="9" t="s">
        <v>189</v>
      </c>
      <c r="F14" s="9" t="s">
        <v>190</v>
      </c>
      <c r="G14" s="12">
        <v>867.27</v>
      </c>
    </row>
    <row r="15">
      <c r="A15" s="9" t="s">
        <v>193</v>
      </c>
      <c r="B15" s="9" t="s">
        <v>194</v>
      </c>
      <c r="C15" s="9" t="s">
        <v>162</v>
      </c>
      <c r="D15" s="10" t="s">
        <v>195</v>
      </c>
      <c r="E15" s="9" t="s">
        <v>196</v>
      </c>
      <c r="F15" s="9" t="s">
        <v>197</v>
      </c>
      <c r="G15" s="12">
        <v>2947.0</v>
      </c>
    </row>
    <row r="16">
      <c r="A16" s="9" t="s">
        <v>202</v>
      </c>
      <c r="B16" s="9" t="s">
        <v>204</v>
      </c>
      <c r="C16" s="9" t="s">
        <v>114</v>
      </c>
      <c r="D16" s="10" t="s">
        <v>207</v>
      </c>
      <c r="E16" s="9" t="s">
        <v>209</v>
      </c>
      <c r="F16" s="9"/>
      <c r="G16" s="9" t="s">
        <v>211</v>
      </c>
    </row>
    <row r="17">
      <c r="A17" s="9" t="s">
        <v>214</v>
      </c>
      <c r="B17" s="9" t="s">
        <v>215</v>
      </c>
      <c r="C17" s="9" t="s">
        <v>145</v>
      </c>
      <c r="D17" s="10"/>
      <c r="E17" s="9" t="s">
        <v>216</v>
      </c>
      <c r="F17" s="9" t="s">
        <v>217</v>
      </c>
      <c r="G17" s="9" t="s">
        <v>218</v>
      </c>
    </row>
    <row r="18">
      <c r="A18" s="9" t="s">
        <v>220</v>
      </c>
      <c r="B18" s="9" t="s">
        <v>215</v>
      </c>
      <c r="C18" s="9" t="s">
        <v>145</v>
      </c>
      <c r="D18" s="10"/>
      <c r="E18" s="9" t="s">
        <v>222</v>
      </c>
      <c r="F18" s="9" t="s">
        <v>223</v>
      </c>
      <c r="G18" s="9" t="s">
        <v>224</v>
      </c>
    </row>
    <row r="19">
      <c r="A19" s="9" t="s">
        <v>227</v>
      </c>
      <c r="B19" s="9" t="s">
        <v>228</v>
      </c>
      <c r="C19" s="9" t="s">
        <v>114</v>
      </c>
      <c r="D19" s="10" t="s">
        <v>229</v>
      </c>
      <c r="E19" s="9" t="s">
        <v>230</v>
      </c>
      <c r="F19" s="9" t="s">
        <v>231</v>
      </c>
      <c r="G19" s="12">
        <v>823.33</v>
      </c>
    </row>
    <row r="20">
      <c r="A20" s="9" t="s">
        <v>235</v>
      </c>
      <c r="B20" s="9" t="s">
        <v>238</v>
      </c>
      <c r="C20" s="9" t="s">
        <v>76</v>
      </c>
      <c r="D20" s="10" t="s">
        <v>241</v>
      </c>
      <c r="E20" s="9" t="s">
        <v>243</v>
      </c>
      <c r="F20" s="9" t="s">
        <v>138</v>
      </c>
      <c r="G20" s="9" t="s">
        <v>244</v>
      </c>
    </row>
    <row r="21" ht="15.75" customHeight="1">
      <c r="A21" s="9" t="s">
        <v>246</v>
      </c>
      <c r="B21" s="9" t="s">
        <v>248</v>
      </c>
      <c r="C21" s="9" t="s">
        <v>76</v>
      </c>
      <c r="D21" s="10" t="s">
        <v>250</v>
      </c>
      <c r="E21" s="9" t="s">
        <v>251</v>
      </c>
      <c r="F21" s="9" t="s">
        <v>252</v>
      </c>
      <c r="G21" s="12">
        <v>4887.16</v>
      </c>
    </row>
    <row r="22" ht="15.75" customHeight="1">
      <c r="A22" s="9" t="s">
        <v>253</v>
      </c>
      <c r="B22" s="9" t="s">
        <v>254</v>
      </c>
      <c r="C22" s="9" t="s">
        <v>76</v>
      </c>
      <c r="D22" s="10" t="s">
        <v>255</v>
      </c>
      <c r="E22" s="9" t="s">
        <v>256</v>
      </c>
      <c r="F22" s="9"/>
      <c r="G22" s="12">
        <v>2135.0</v>
      </c>
    </row>
    <row r="23" ht="15.75" customHeight="1">
      <c r="A23" s="9" t="s">
        <v>258</v>
      </c>
      <c r="B23" s="9" t="s">
        <v>260</v>
      </c>
      <c r="C23" s="9" t="s">
        <v>76</v>
      </c>
      <c r="D23" s="10" t="s">
        <v>261</v>
      </c>
      <c r="E23" s="9" t="s">
        <v>263</v>
      </c>
      <c r="F23" s="9"/>
      <c r="G23" s="12">
        <v>2250.0</v>
      </c>
    </row>
    <row r="24" ht="15.75" customHeight="1">
      <c r="A24" s="9" t="s">
        <v>268</v>
      </c>
      <c r="B24" s="9" t="s">
        <v>271</v>
      </c>
      <c r="C24" s="9" t="s">
        <v>114</v>
      </c>
      <c r="D24" s="10" t="s">
        <v>274</v>
      </c>
      <c r="E24" s="9" t="s">
        <v>276</v>
      </c>
      <c r="F24" s="9" t="s">
        <v>277</v>
      </c>
      <c r="G24" s="12">
        <v>6393.75</v>
      </c>
    </row>
    <row r="25" ht="15.75" customHeight="1">
      <c r="A25" s="9" t="s">
        <v>268</v>
      </c>
      <c r="B25" s="9" t="s">
        <v>278</v>
      </c>
      <c r="C25" s="9" t="s">
        <v>114</v>
      </c>
      <c r="D25" s="10" t="s">
        <v>274</v>
      </c>
      <c r="E25" s="9" t="s">
        <v>276</v>
      </c>
      <c r="F25" s="9" t="s">
        <v>277</v>
      </c>
      <c r="G25" s="12">
        <v>6393.75</v>
      </c>
    </row>
    <row r="26" ht="15.75" customHeight="1">
      <c r="A26" s="9" t="s">
        <v>280</v>
      </c>
      <c r="B26" s="9" t="s">
        <v>281</v>
      </c>
      <c r="C26" s="9" t="s">
        <v>76</v>
      </c>
      <c r="D26" s="10" t="s">
        <v>282</v>
      </c>
      <c r="E26" s="9" t="s">
        <v>283</v>
      </c>
      <c r="F26" s="9"/>
      <c r="G26" s="9" t="s">
        <v>284</v>
      </c>
    </row>
    <row r="27" ht="15.75" customHeight="1">
      <c r="A27" s="9" t="s">
        <v>286</v>
      </c>
      <c r="B27" s="9" t="s">
        <v>288</v>
      </c>
      <c r="C27" s="9" t="s">
        <v>76</v>
      </c>
      <c r="D27" s="10" t="s">
        <v>291</v>
      </c>
      <c r="E27" s="9" t="s">
        <v>293</v>
      </c>
      <c r="F27" s="9"/>
      <c r="G27" s="9" t="s">
        <v>295</v>
      </c>
    </row>
    <row r="28" ht="15.75" customHeight="1">
      <c r="A28" s="9" t="s">
        <v>297</v>
      </c>
      <c r="B28" s="9" t="s">
        <v>298</v>
      </c>
      <c r="C28" s="9" t="s">
        <v>145</v>
      </c>
      <c r="D28" s="10"/>
      <c r="E28" s="9" t="s">
        <v>300</v>
      </c>
      <c r="F28" s="9"/>
      <c r="G28" s="12">
        <v>5122.32</v>
      </c>
    </row>
    <row r="29" ht="15.75" customHeight="1">
      <c r="A29" s="9" t="s">
        <v>301</v>
      </c>
      <c r="B29" s="9" t="s">
        <v>303</v>
      </c>
      <c r="C29" s="9" t="s">
        <v>114</v>
      </c>
      <c r="D29" s="10" t="s">
        <v>305</v>
      </c>
      <c r="E29" s="9" t="s">
        <v>306</v>
      </c>
      <c r="F29" s="9" t="s">
        <v>307</v>
      </c>
      <c r="G29" s="9" t="s">
        <v>308</v>
      </c>
    </row>
    <row r="30" ht="15.75" customHeight="1">
      <c r="A30" s="9" t="s">
        <v>309</v>
      </c>
      <c r="B30" s="9" t="s">
        <v>310</v>
      </c>
      <c r="C30" s="9" t="s">
        <v>76</v>
      </c>
      <c r="D30" s="10" t="s">
        <v>311</v>
      </c>
      <c r="E30" s="9" t="s">
        <v>313</v>
      </c>
      <c r="F30" s="9"/>
      <c r="G30" s="12">
        <v>1000.0</v>
      </c>
    </row>
    <row r="31" ht="15.75" customHeight="1">
      <c r="A31" s="9" t="s">
        <v>309</v>
      </c>
      <c r="B31" s="9" t="s">
        <v>319</v>
      </c>
      <c r="C31" s="9" t="s">
        <v>76</v>
      </c>
      <c r="D31" s="10" t="s">
        <v>311</v>
      </c>
      <c r="E31" s="9" t="s">
        <v>313</v>
      </c>
      <c r="F31" s="9"/>
      <c r="G31" s="12">
        <v>1000.0</v>
      </c>
    </row>
    <row r="32" ht="15.75" customHeight="1">
      <c r="A32" s="9" t="s">
        <v>324</v>
      </c>
      <c r="B32" s="9" t="s">
        <v>326</v>
      </c>
      <c r="C32" s="9" t="s">
        <v>76</v>
      </c>
      <c r="D32" s="10" t="s">
        <v>328</v>
      </c>
      <c r="E32" s="9" t="s">
        <v>329</v>
      </c>
      <c r="F32" s="9"/>
      <c r="G32" s="12">
        <v>990.0</v>
      </c>
    </row>
    <row r="33" ht="15.75" customHeight="1">
      <c r="A33" s="9" t="s">
        <v>331</v>
      </c>
      <c r="B33" s="9" t="s">
        <v>332</v>
      </c>
      <c r="C33" s="9" t="s">
        <v>114</v>
      </c>
      <c r="D33" s="10" t="s">
        <v>333</v>
      </c>
      <c r="E33" s="9" t="s">
        <v>335</v>
      </c>
      <c r="F33" s="9" t="s">
        <v>337</v>
      </c>
      <c r="G33" s="9" t="s">
        <v>338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0"/>
    <col customWidth="1" min="3" max="3" width="20.0"/>
    <col customWidth="1" min="4" max="4" width="14.0"/>
    <col customWidth="1" min="5" max="5" width="12.0"/>
    <col customWidth="1" min="6" max="6" width="40.0"/>
    <col customWidth="1" min="7" max="7" width="12.0"/>
    <col customWidth="1" min="8" max="26" width="8.71"/>
  </cols>
  <sheetData>
    <row r="1" ht="30.0" customHeight="1">
      <c r="A1" s="4" t="s">
        <v>57</v>
      </c>
      <c r="B1" s="4" t="s">
        <v>3</v>
      </c>
      <c r="C1" s="4" t="s">
        <v>59</v>
      </c>
      <c r="D1" s="4" t="s">
        <v>61</v>
      </c>
      <c r="E1" s="4" t="s">
        <v>62</v>
      </c>
      <c r="F1" s="4" t="s">
        <v>64</v>
      </c>
      <c r="G1" s="4" t="s">
        <v>66</v>
      </c>
    </row>
    <row r="2">
      <c r="A2" s="11">
        <v>46248.0</v>
      </c>
      <c r="B2" s="9" t="s">
        <v>69</v>
      </c>
      <c r="C2" s="9" t="s">
        <v>70</v>
      </c>
      <c r="D2" s="9" t="s">
        <v>71</v>
      </c>
      <c r="E2" s="9" t="s">
        <v>73</v>
      </c>
      <c r="F2" s="9" t="s">
        <v>75</v>
      </c>
      <c r="G2" s="9"/>
    </row>
    <row r="3">
      <c r="A3" s="11">
        <v>46266.0</v>
      </c>
      <c r="B3" s="9" t="s">
        <v>80</v>
      </c>
      <c r="C3" s="9" t="s">
        <v>81</v>
      </c>
      <c r="D3" s="9" t="s">
        <v>82</v>
      </c>
      <c r="E3" s="9" t="s">
        <v>73</v>
      </c>
      <c r="F3" s="9" t="s">
        <v>84</v>
      </c>
      <c r="G3" s="9"/>
    </row>
    <row r="4">
      <c r="A4" s="11">
        <v>46268.0</v>
      </c>
      <c r="B4" s="9" t="s">
        <v>89</v>
      </c>
      <c r="C4" s="9" t="s">
        <v>90</v>
      </c>
      <c r="D4" s="9" t="s">
        <v>92</v>
      </c>
      <c r="E4" s="9" t="s">
        <v>73</v>
      </c>
      <c r="F4" s="9" t="s">
        <v>95</v>
      </c>
      <c r="G4" s="9"/>
    </row>
    <row r="5">
      <c r="A5" s="11">
        <v>46268.0</v>
      </c>
      <c r="B5" s="9" t="s">
        <v>98</v>
      </c>
      <c r="C5" s="9" t="s">
        <v>100</v>
      </c>
      <c r="D5" s="9" t="s">
        <v>101</v>
      </c>
      <c r="E5" s="9" t="s">
        <v>103</v>
      </c>
      <c r="F5" s="9" t="s">
        <v>105</v>
      </c>
      <c r="G5" s="9"/>
    </row>
    <row r="6">
      <c r="A6" s="11">
        <v>46268.0</v>
      </c>
      <c r="B6" s="9" t="s">
        <v>110</v>
      </c>
      <c r="C6" s="9" t="s">
        <v>112</v>
      </c>
      <c r="D6" s="9" t="s">
        <v>82</v>
      </c>
      <c r="E6" s="9" t="s">
        <v>115</v>
      </c>
      <c r="F6" s="9" t="s">
        <v>118</v>
      </c>
      <c r="G6" s="9"/>
    </row>
    <row r="7">
      <c r="A7" s="11">
        <v>46269.0</v>
      </c>
      <c r="B7" s="9" t="s">
        <v>121</v>
      </c>
      <c r="C7" s="9" t="s">
        <v>123</v>
      </c>
      <c r="D7" s="9" t="s">
        <v>125</v>
      </c>
      <c r="E7" s="9" t="s">
        <v>127</v>
      </c>
      <c r="F7" s="9" t="s">
        <v>130</v>
      </c>
      <c r="G7" s="9"/>
    </row>
    <row r="8">
      <c r="A8" s="11">
        <v>46271.0</v>
      </c>
      <c r="B8" s="9" t="s">
        <v>138</v>
      </c>
      <c r="C8" s="9" t="s">
        <v>140</v>
      </c>
      <c r="D8" s="9" t="s">
        <v>141</v>
      </c>
      <c r="E8" s="9" t="s">
        <v>73</v>
      </c>
      <c r="F8" s="9" t="s">
        <v>142</v>
      </c>
      <c r="G8" s="9"/>
    </row>
    <row r="9">
      <c r="A9" s="11">
        <v>46273.0</v>
      </c>
      <c r="B9" s="9" t="s">
        <v>147</v>
      </c>
      <c r="C9" s="9" t="s">
        <v>149</v>
      </c>
      <c r="D9" s="9" t="s">
        <v>151</v>
      </c>
      <c r="E9" s="9" t="s">
        <v>73</v>
      </c>
      <c r="F9" s="9" t="s">
        <v>105</v>
      </c>
      <c r="G9" s="9"/>
    </row>
    <row r="10">
      <c r="A10" s="11">
        <v>46273.0</v>
      </c>
      <c r="B10" s="9" t="s">
        <v>156</v>
      </c>
      <c r="C10" s="9" t="s">
        <v>157</v>
      </c>
      <c r="D10" s="9" t="s">
        <v>159</v>
      </c>
      <c r="E10" s="9" t="s">
        <v>115</v>
      </c>
      <c r="F10" s="9" t="s">
        <v>130</v>
      </c>
      <c r="G10" s="9"/>
    </row>
    <row r="11">
      <c r="A11" s="11">
        <v>46273.0</v>
      </c>
      <c r="B11" s="9" t="s">
        <v>163</v>
      </c>
      <c r="C11" s="9" t="s">
        <v>166</v>
      </c>
      <c r="D11" s="9" t="s">
        <v>171</v>
      </c>
      <c r="E11" s="9" t="s">
        <v>115</v>
      </c>
      <c r="F11" s="9" t="s">
        <v>176</v>
      </c>
      <c r="G11" s="9"/>
    </row>
    <row r="12">
      <c r="A12" s="11">
        <v>46275.0</v>
      </c>
      <c r="B12" s="9" t="s">
        <v>89</v>
      </c>
      <c r="C12" s="9" t="s">
        <v>90</v>
      </c>
      <c r="D12" s="9" t="s">
        <v>183</v>
      </c>
      <c r="E12" s="9" t="s">
        <v>73</v>
      </c>
      <c r="F12" s="9" t="s">
        <v>185</v>
      </c>
      <c r="G12" s="9"/>
    </row>
    <row r="13">
      <c r="A13" s="11">
        <v>46276.0</v>
      </c>
      <c r="B13" s="9" t="s">
        <v>191</v>
      </c>
      <c r="C13" s="9" t="s">
        <v>192</v>
      </c>
      <c r="D13" s="9" t="s">
        <v>125</v>
      </c>
      <c r="E13" s="9" t="s">
        <v>103</v>
      </c>
      <c r="F13" s="9" t="s">
        <v>176</v>
      </c>
      <c r="G13" s="9"/>
    </row>
    <row r="14">
      <c r="A14" s="11">
        <v>46276.0</v>
      </c>
      <c r="B14" s="9" t="s">
        <v>199</v>
      </c>
      <c r="C14" s="9" t="s">
        <v>201</v>
      </c>
      <c r="D14" s="9" t="s">
        <v>205</v>
      </c>
      <c r="E14" s="9" t="s">
        <v>127</v>
      </c>
      <c r="F14" s="9" t="s">
        <v>130</v>
      </c>
      <c r="G14" s="9"/>
    </row>
    <row r="15">
      <c r="A15" s="11">
        <v>46277.0</v>
      </c>
      <c r="B15" s="9" t="s">
        <v>191</v>
      </c>
      <c r="C15" s="9" t="s">
        <v>192</v>
      </c>
      <c r="D15" s="9" t="s">
        <v>125</v>
      </c>
      <c r="E15" s="9" t="s">
        <v>127</v>
      </c>
      <c r="F15" s="9" t="s">
        <v>142</v>
      </c>
      <c r="G15" s="9"/>
    </row>
    <row r="16">
      <c r="A16" s="11">
        <v>46277.0</v>
      </c>
      <c r="B16" s="9" t="s">
        <v>219</v>
      </c>
      <c r="C16" s="9" t="s">
        <v>221</v>
      </c>
      <c r="D16" s="9" t="s">
        <v>205</v>
      </c>
      <c r="E16" s="9" t="s">
        <v>127</v>
      </c>
      <c r="F16" s="9" t="s">
        <v>142</v>
      </c>
      <c r="G16" s="9"/>
    </row>
    <row r="17">
      <c r="A17" s="11">
        <v>46277.0</v>
      </c>
      <c r="B17" s="9" t="s">
        <v>225</v>
      </c>
      <c r="C17" s="9" t="s">
        <v>226</v>
      </c>
      <c r="D17" s="9" t="s">
        <v>205</v>
      </c>
      <c r="E17" s="9" t="s">
        <v>115</v>
      </c>
      <c r="F17" s="9" t="s">
        <v>176</v>
      </c>
      <c r="G17" s="9"/>
    </row>
    <row r="18">
      <c r="A18" s="11">
        <v>46278.0</v>
      </c>
      <c r="B18" s="9" t="s">
        <v>232</v>
      </c>
      <c r="C18" s="9" t="s">
        <v>234</v>
      </c>
      <c r="D18" s="9" t="s">
        <v>237</v>
      </c>
      <c r="E18" s="9" t="s">
        <v>73</v>
      </c>
      <c r="F18" s="9" t="s">
        <v>240</v>
      </c>
      <c r="G18" s="9"/>
    </row>
    <row r="19">
      <c r="A19" s="11">
        <v>46279.0</v>
      </c>
      <c r="B19" s="9" t="s">
        <v>245</v>
      </c>
      <c r="C19" s="9" t="s">
        <v>247</v>
      </c>
      <c r="D19" s="9" t="s">
        <v>171</v>
      </c>
      <c r="E19" s="9" t="s">
        <v>73</v>
      </c>
      <c r="F19" s="9" t="s">
        <v>249</v>
      </c>
      <c r="G19" s="9"/>
    </row>
    <row r="20">
      <c r="A20" s="11">
        <v>46280.0</v>
      </c>
      <c r="B20" s="9" t="s">
        <v>245</v>
      </c>
      <c r="C20" s="9" t="s">
        <v>247</v>
      </c>
      <c r="D20" s="9" t="s">
        <v>82</v>
      </c>
      <c r="E20" s="9" t="s">
        <v>103</v>
      </c>
      <c r="F20" s="9" t="s">
        <v>95</v>
      </c>
      <c r="G20" s="9"/>
    </row>
    <row r="21" ht="15.75" customHeight="1">
      <c r="A21" s="11">
        <v>46281.0</v>
      </c>
      <c r="B21" s="9" t="s">
        <v>257</v>
      </c>
      <c r="C21" s="9" t="s">
        <v>259</v>
      </c>
      <c r="D21" s="9" t="s">
        <v>82</v>
      </c>
      <c r="E21" s="9" t="s">
        <v>73</v>
      </c>
      <c r="F21" s="9" t="s">
        <v>265</v>
      </c>
      <c r="G21" s="9"/>
    </row>
    <row r="22" ht="15.75" customHeight="1">
      <c r="A22" s="11">
        <v>46281.0</v>
      </c>
      <c r="B22" s="9" t="s">
        <v>272</v>
      </c>
      <c r="C22" s="9" t="s">
        <v>273</v>
      </c>
      <c r="D22" s="9" t="s">
        <v>275</v>
      </c>
      <c r="E22" s="9" t="s">
        <v>115</v>
      </c>
      <c r="F22" s="9" t="s">
        <v>176</v>
      </c>
      <c r="G22" s="9"/>
    </row>
    <row r="23" ht="15.75" customHeight="1">
      <c r="A23" s="11">
        <v>46281.0</v>
      </c>
      <c r="B23" s="9" t="s">
        <v>69</v>
      </c>
      <c r="C23" s="9" t="s">
        <v>70</v>
      </c>
      <c r="D23" s="9" t="s">
        <v>92</v>
      </c>
      <c r="E23" s="9" t="s">
        <v>103</v>
      </c>
      <c r="F23" s="9" t="s">
        <v>279</v>
      </c>
      <c r="G23" s="9"/>
    </row>
    <row r="24" ht="15.75" customHeight="1">
      <c r="A24" s="11">
        <v>46282.0</v>
      </c>
      <c r="B24" s="9" t="s">
        <v>138</v>
      </c>
      <c r="C24" s="9" t="s">
        <v>140</v>
      </c>
      <c r="D24" s="9" t="s">
        <v>101</v>
      </c>
      <c r="E24" s="9" t="s">
        <v>73</v>
      </c>
      <c r="F24" s="9" t="s">
        <v>142</v>
      </c>
      <c r="G24" s="9"/>
    </row>
    <row r="25" ht="15.75" customHeight="1">
      <c r="A25" s="11">
        <v>46282.0</v>
      </c>
      <c r="B25" s="9" t="s">
        <v>191</v>
      </c>
      <c r="C25" s="9" t="s">
        <v>192</v>
      </c>
      <c r="D25" s="9" t="s">
        <v>296</v>
      </c>
      <c r="E25" s="9" t="s">
        <v>73</v>
      </c>
      <c r="F25" s="9" t="s">
        <v>299</v>
      </c>
      <c r="G25" s="9"/>
    </row>
    <row r="26" ht="15.75" customHeight="1">
      <c r="A26" s="11">
        <v>46282.0</v>
      </c>
      <c r="B26" s="9" t="s">
        <v>302</v>
      </c>
      <c r="C26" s="9" t="s">
        <v>304</v>
      </c>
      <c r="D26" s="9" t="s">
        <v>171</v>
      </c>
      <c r="E26" s="9" t="s">
        <v>127</v>
      </c>
      <c r="F26" s="9" t="s">
        <v>118</v>
      </c>
      <c r="G26" s="9"/>
    </row>
    <row r="27" ht="15.75" customHeight="1">
      <c r="A27" s="11">
        <v>46283.0</v>
      </c>
      <c r="B27" s="9" t="s">
        <v>312</v>
      </c>
      <c r="C27" s="9" t="s">
        <v>314</v>
      </c>
      <c r="D27" s="9" t="s">
        <v>141</v>
      </c>
      <c r="E27" s="9" t="s">
        <v>73</v>
      </c>
      <c r="F27" s="9" t="s">
        <v>321</v>
      </c>
      <c r="G27" s="11">
        <v>46288.0</v>
      </c>
    </row>
    <row r="28" ht="15.75" customHeight="1">
      <c r="A28" s="11">
        <v>46283.0</v>
      </c>
      <c r="B28" s="9" t="s">
        <v>325</v>
      </c>
      <c r="C28" s="9" t="s">
        <v>327</v>
      </c>
      <c r="D28" s="9" t="s">
        <v>71</v>
      </c>
      <c r="E28" s="9" t="s">
        <v>103</v>
      </c>
      <c r="F28" s="9" t="s">
        <v>330</v>
      </c>
      <c r="G28" s="9"/>
    </row>
    <row r="29" ht="15.75" customHeight="1">
      <c r="A29" s="11">
        <v>46284.0</v>
      </c>
      <c r="B29" s="9" t="s">
        <v>334</v>
      </c>
      <c r="C29" s="9" t="s">
        <v>336</v>
      </c>
      <c r="D29" s="9" t="s">
        <v>275</v>
      </c>
      <c r="E29" s="9" t="s">
        <v>73</v>
      </c>
      <c r="F29" s="9" t="s">
        <v>339</v>
      </c>
      <c r="G29" s="9"/>
    </row>
    <row r="30" ht="15.75" customHeight="1">
      <c r="A30" s="11">
        <v>46284.0</v>
      </c>
      <c r="B30" s="9" t="s">
        <v>340</v>
      </c>
      <c r="C30" s="9" t="s">
        <v>347</v>
      </c>
      <c r="D30" s="9" t="s">
        <v>183</v>
      </c>
      <c r="E30" s="9" t="s">
        <v>73</v>
      </c>
      <c r="F30" s="9" t="s">
        <v>348</v>
      </c>
      <c r="G30" s="9"/>
    </row>
    <row r="31" ht="15.75" customHeight="1">
      <c r="A31" s="11">
        <v>46284.0</v>
      </c>
      <c r="B31" s="9" t="s">
        <v>80</v>
      </c>
      <c r="C31" s="9" t="s">
        <v>81</v>
      </c>
      <c r="D31" s="9" t="s">
        <v>82</v>
      </c>
      <c r="E31" s="9" t="s">
        <v>73</v>
      </c>
      <c r="F31" s="9" t="s">
        <v>84</v>
      </c>
      <c r="G31" s="9"/>
    </row>
    <row r="32" ht="15.75" customHeight="1">
      <c r="A32" s="11">
        <v>46285.0</v>
      </c>
      <c r="B32" s="9" t="s">
        <v>349</v>
      </c>
      <c r="C32" s="9" t="s">
        <v>350</v>
      </c>
      <c r="D32" s="9" t="s">
        <v>171</v>
      </c>
      <c r="E32" s="9" t="s">
        <v>73</v>
      </c>
      <c r="F32" s="9" t="s">
        <v>339</v>
      </c>
      <c r="G32" s="9"/>
    </row>
    <row r="33" ht="15.75" customHeight="1">
      <c r="A33" s="11">
        <v>46285.0</v>
      </c>
      <c r="B33" s="9" t="s">
        <v>232</v>
      </c>
      <c r="C33" s="9" t="s">
        <v>234</v>
      </c>
      <c r="D33" s="9" t="s">
        <v>237</v>
      </c>
      <c r="E33" s="9" t="s">
        <v>127</v>
      </c>
      <c r="F33" s="9" t="s">
        <v>348</v>
      </c>
      <c r="G33" s="9"/>
    </row>
    <row r="34" ht="15.75" customHeight="1">
      <c r="A34" s="11">
        <v>46285.0</v>
      </c>
      <c r="B34" s="9" t="s">
        <v>219</v>
      </c>
      <c r="C34" s="9" t="s">
        <v>221</v>
      </c>
      <c r="D34" s="9" t="s">
        <v>171</v>
      </c>
      <c r="E34" s="9" t="s">
        <v>73</v>
      </c>
      <c r="F34" s="9" t="s">
        <v>330</v>
      </c>
      <c r="G34" s="9"/>
    </row>
    <row r="35" ht="15.75" customHeight="1">
      <c r="A35" s="11">
        <v>46286.0</v>
      </c>
      <c r="B35" s="9" t="s">
        <v>334</v>
      </c>
      <c r="C35" s="9" t="s">
        <v>336</v>
      </c>
      <c r="D35" s="9" t="s">
        <v>275</v>
      </c>
      <c r="E35" s="9" t="s">
        <v>73</v>
      </c>
      <c r="F35" s="9" t="s">
        <v>299</v>
      </c>
      <c r="G35" s="9"/>
    </row>
    <row r="36" ht="15.75" customHeight="1">
      <c r="A36" s="11">
        <v>46286.0</v>
      </c>
      <c r="B36" s="9" t="s">
        <v>363</v>
      </c>
      <c r="C36" s="9" t="s">
        <v>364</v>
      </c>
      <c r="D36" s="9" t="s">
        <v>159</v>
      </c>
      <c r="E36" s="9" t="s">
        <v>103</v>
      </c>
      <c r="F36" s="9" t="s">
        <v>95</v>
      </c>
      <c r="G36" s="9"/>
    </row>
    <row r="37" ht="15.75" customHeight="1">
      <c r="A37" s="11">
        <v>46286.0</v>
      </c>
      <c r="B37" s="9" t="s">
        <v>365</v>
      </c>
      <c r="C37" s="9" t="s">
        <v>366</v>
      </c>
      <c r="D37" s="9" t="s">
        <v>151</v>
      </c>
      <c r="E37" s="9" t="s">
        <v>115</v>
      </c>
      <c r="F37" s="9" t="s">
        <v>118</v>
      </c>
      <c r="G37" s="9"/>
    </row>
    <row r="38" ht="15.75" customHeight="1">
      <c r="A38" s="11">
        <v>46286.0</v>
      </c>
      <c r="B38" s="9" t="s">
        <v>367</v>
      </c>
      <c r="C38" s="9" t="s">
        <v>368</v>
      </c>
      <c r="D38" s="9" t="s">
        <v>92</v>
      </c>
      <c r="E38" s="9" t="s">
        <v>115</v>
      </c>
      <c r="F38" s="9" t="s">
        <v>118</v>
      </c>
      <c r="G38" s="9"/>
    </row>
    <row r="39" ht="15.75" customHeight="1">
      <c r="A39" s="11">
        <v>46287.0</v>
      </c>
      <c r="B39" s="9" t="s">
        <v>375</v>
      </c>
      <c r="C39" s="9" t="s">
        <v>377</v>
      </c>
      <c r="D39" s="9" t="s">
        <v>205</v>
      </c>
      <c r="E39" s="9" t="s">
        <v>103</v>
      </c>
      <c r="F39" s="9" t="s">
        <v>378</v>
      </c>
      <c r="G39" s="9"/>
    </row>
    <row r="40" ht="15.75" customHeight="1">
      <c r="A40" s="11">
        <v>46287.0</v>
      </c>
      <c r="B40" s="9" t="s">
        <v>379</v>
      </c>
      <c r="C40" s="9" t="s">
        <v>380</v>
      </c>
      <c r="D40" s="9" t="s">
        <v>82</v>
      </c>
      <c r="E40" s="9" t="s">
        <v>115</v>
      </c>
      <c r="F40" s="9" t="s">
        <v>176</v>
      </c>
      <c r="G40" s="9"/>
    </row>
    <row r="41" ht="15.75" customHeight="1">
      <c r="A41" s="11">
        <v>46287.0</v>
      </c>
      <c r="B41" s="9" t="s">
        <v>325</v>
      </c>
      <c r="C41" s="9" t="s">
        <v>327</v>
      </c>
      <c r="D41" s="9" t="s">
        <v>92</v>
      </c>
      <c r="E41" s="9" t="s">
        <v>73</v>
      </c>
      <c r="F41" s="9" t="s">
        <v>176</v>
      </c>
      <c r="G41" s="9"/>
    </row>
    <row r="42" ht="15.75" customHeight="1">
      <c r="A42" s="11">
        <v>46287.0</v>
      </c>
      <c r="B42" s="9" t="s">
        <v>385</v>
      </c>
      <c r="C42" s="9" t="s">
        <v>388</v>
      </c>
      <c r="D42" s="9" t="s">
        <v>171</v>
      </c>
      <c r="E42" s="9" t="s">
        <v>73</v>
      </c>
      <c r="F42" s="9" t="s">
        <v>389</v>
      </c>
      <c r="G42" s="9"/>
    </row>
    <row r="43" ht="15.75" customHeight="1">
      <c r="A43" s="11">
        <v>46288.0</v>
      </c>
      <c r="B43" s="9" t="s">
        <v>219</v>
      </c>
      <c r="C43" s="9" t="s">
        <v>221</v>
      </c>
      <c r="D43" s="9" t="s">
        <v>205</v>
      </c>
      <c r="E43" s="9" t="s">
        <v>115</v>
      </c>
      <c r="F43" s="9" t="s">
        <v>249</v>
      </c>
      <c r="G43" s="9"/>
    </row>
    <row r="44" ht="15.75" customHeight="1">
      <c r="A44" s="11">
        <v>46289.0</v>
      </c>
      <c r="B44" s="9" t="s">
        <v>363</v>
      </c>
      <c r="C44" s="9" t="s">
        <v>364</v>
      </c>
      <c r="D44" s="9" t="s">
        <v>159</v>
      </c>
      <c r="E44" s="9" t="s">
        <v>73</v>
      </c>
      <c r="F44" s="9" t="s">
        <v>339</v>
      </c>
      <c r="G44" s="9"/>
    </row>
    <row r="45" ht="15.75" customHeight="1">
      <c r="A45" s="11">
        <v>46289.0</v>
      </c>
      <c r="B45" s="9" t="s">
        <v>393</v>
      </c>
      <c r="C45" s="9" t="s">
        <v>395</v>
      </c>
      <c r="D45" s="9" t="s">
        <v>141</v>
      </c>
      <c r="E45" s="9" t="s">
        <v>73</v>
      </c>
      <c r="F45" s="9" t="s">
        <v>176</v>
      </c>
      <c r="G45" s="9"/>
    </row>
    <row r="46" ht="15.75" customHeight="1">
      <c r="A46" s="11">
        <v>46290.0</v>
      </c>
      <c r="B46" s="9" t="s">
        <v>257</v>
      </c>
      <c r="C46" s="9" t="s">
        <v>259</v>
      </c>
      <c r="D46" s="9" t="s">
        <v>171</v>
      </c>
      <c r="E46" s="9" t="s">
        <v>73</v>
      </c>
      <c r="F46" s="9" t="s">
        <v>321</v>
      </c>
      <c r="G46" s="11">
        <v>46298.0</v>
      </c>
    </row>
    <row r="47" ht="15.75" customHeight="1">
      <c r="A47" s="11">
        <v>46290.0</v>
      </c>
      <c r="B47" s="9" t="s">
        <v>245</v>
      </c>
      <c r="C47" s="9" t="s">
        <v>247</v>
      </c>
      <c r="D47" s="9" t="s">
        <v>82</v>
      </c>
      <c r="E47" s="9" t="s">
        <v>73</v>
      </c>
      <c r="F47" s="9" t="s">
        <v>348</v>
      </c>
      <c r="G47" s="9"/>
    </row>
    <row r="48" ht="15.75" customHeight="1">
      <c r="A48" s="11">
        <v>46290.0</v>
      </c>
      <c r="B48" s="9" t="s">
        <v>397</v>
      </c>
      <c r="C48" s="9" t="s">
        <v>398</v>
      </c>
      <c r="D48" s="9" t="s">
        <v>151</v>
      </c>
      <c r="E48" s="9" t="s">
        <v>73</v>
      </c>
      <c r="F48" s="9" t="s">
        <v>95</v>
      </c>
      <c r="G48" s="9"/>
    </row>
    <row r="49" ht="15.75" customHeight="1">
      <c r="A49" s="11">
        <v>46291.0</v>
      </c>
      <c r="B49" s="9" t="s">
        <v>363</v>
      </c>
      <c r="C49" s="9" t="s">
        <v>364</v>
      </c>
      <c r="D49" s="9" t="s">
        <v>403</v>
      </c>
      <c r="E49" s="9" t="s">
        <v>115</v>
      </c>
      <c r="F49" s="9" t="s">
        <v>176</v>
      </c>
      <c r="G49" s="9"/>
    </row>
    <row r="50" ht="15.75" customHeight="1">
      <c r="A50" s="11">
        <v>46291.0</v>
      </c>
      <c r="B50" s="9" t="s">
        <v>404</v>
      </c>
      <c r="C50" s="9" t="s">
        <v>405</v>
      </c>
      <c r="D50" s="9" t="s">
        <v>71</v>
      </c>
      <c r="E50" s="9" t="s">
        <v>73</v>
      </c>
      <c r="F50" s="9" t="s">
        <v>321</v>
      </c>
      <c r="G50" s="11">
        <v>46296.0</v>
      </c>
    </row>
    <row r="51" ht="15.75" customHeight="1">
      <c r="A51" s="11">
        <v>46291.0</v>
      </c>
      <c r="B51" s="9" t="s">
        <v>406</v>
      </c>
      <c r="C51" s="9" t="s">
        <v>407</v>
      </c>
      <c r="D51" s="9" t="s">
        <v>141</v>
      </c>
      <c r="E51" s="9" t="s">
        <v>73</v>
      </c>
      <c r="F51" s="9" t="s">
        <v>95</v>
      </c>
      <c r="G51" s="9"/>
    </row>
    <row r="52" ht="15.75" customHeight="1">
      <c r="A52" s="11">
        <v>46291.0</v>
      </c>
      <c r="B52" s="9" t="s">
        <v>413</v>
      </c>
      <c r="C52" s="9" t="s">
        <v>414</v>
      </c>
      <c r="D52" s="9" t="s">
        <v>205</v>
      </c>
      <c r="E52" s="9" t="s">
        <v>115</v>
      </c>
      <c r="F52" s="9" t="s">
        <v>142</v>
      </c>
      <c r="G52" s="9"/>
    </row>
    <row r="53" ht="15.75" customHeight="1">
      <c r="A53" s="11">
        <v>46292.0</v>
      </c>
      <c r="B53" s="9" t="s">
        <v>415</v>
      </c>
      <c r="C53" s="9" t="s">
        <v>416</v>
      </c>
      <c r="D53" s="9" t="s">
        <v>403</v>
      </c>
      <c r="E53" s="9" t="s">
        <v>103</v>
      </c>
      <c r="F53" s="9" t="s">
        <v>95</v>
      </c>
      <c r="G53" s="9"/>
    </row>
    <row r="54" ht="15.75" customHeight="1">
      <c r="A54" s="11">
        <v>46292.0</v>
      </c>
      <c r="B54" s="9" t="s">
        <v>417</v>
      </c>
      <c r="C54" s="9" t="s">
        <v>418</v>
      </c>
      <c r="D54" s="9" t="s">
        <v>171</v>
      </c>
      <c r="E54" s="9" t="s">
        <v>73</v>
      </c>
      <c r="F54" s="9" t="s">
        <v>422</v>
      </c>
      <c r="G54" s="9"/>
    </row>
    <row r="55" ht="15.75" customHeight="1">
      <c r="A55" s="11">
        <v>46292.0</v>
      </c>
      <c r="B55" s="9" t="s">
        <v>426</v>
      </c>
      <c r="C55" s="9" t="s">
        <v>427</v>
      </c>
      <c r="D55" s="9" t="s">
        <v>101</v>
      </c>
      <c r="E55" s="9" t="s">
        <v>115</v>
      </c>
      <c r="F55" s="9" t="s">
        <v>176</v>
      </c>
      <c r="G55" s="9"/>
    </row>
    <row r="56" ht="15.75" customHeight="1">
      <c r="A56" s="11">
        <v>46292.0</v>
      </c>
      <c r="B56" s="9" t="s">
        <v>428</v>
      </c>
      <c r="C56" s="9" t="s">
        <v>429</v>
      </c>
      <c r="D56" s="9" t="s">
        <v>296</v>
      </c>
      <c r="E56" s="9" t="s">
        <v>115</v>
      </c>
      <c r="F56" s="9" t="s">
        <v>118</v>
      </c>
      <c r="G56" s="9"/>
    </row>
    <row r="57" ht="15.75" customHeight="1">
      <c r="A57" s="11">
        <v>46293.0</v>
      </c>
      <c r="B57" s="9" t="s">
        <v>430</v>
      </c>
      <c r="C57" s="9" t="s">
        <v>431</v>
      </c>
      <c r="D57" s="9" t="s">
        <v>205</v>
      </c>
      <c r="E57" s="9" t="s">
        <v>115</v>
      </c>
      <c r="F57" s="9" t="s">
        <v>249</v>
      </c>
      <c r="G57" s="9"/>
    </row>
    <row r="58" ht="15.75" customHeight="1">
      <c r="A58" s="11">
        <v>46293.0</v>
      </c>
      <c r="B58" s="9" t="s">
        <v>415</v>
      </c>
      <c r="C58" s="9" t="s">
        <v>416</v>
      </c>
      <c r="D58" s="9" t="s">
        <v>159</v>
      </c>
      <c r="E58" s="9" t="s">
        <v>73</v>
      </c>
      <c r="F58" s="9" t="s">
        <v>95</v>
      </c>
      <c r="G58" s="9"/>
    </row>
    <row r="59" ht="15.75" customHeight="1">
      <c r="A59" s="11">
        <v>46293.0</v>
      </c>
      <c r="B59" s="9" t="s">
        <v>438</v>
      </c>
      <c r="C59" s="9" t="s">
        <v>439</v>
      </c>
      <c r="D59" s="9" t="s">
        <v>275</v>
      </c>
      <c r="E59" s="9" t="s">
        <v>73</v>
      </c>
      <c r="F59" s="9" t="s">
        <v>348</v>
      </c>
      <c r="G59" s="9"/>
    </row>
    <row r="60" ht="15.75" customHeight="1">
      <c r="A60" s="11">
        <v>46293.0</v>
      </c>
      <c r="B60" s="9" t="s">
        <v>440</v>
      </c>
      <c r="C60" s="9" t="s">
        <v>441</v>
      </c>
      <c r="D60" s="9" t="s">
        <v>183</v>
      </c>
      <c r="E60" s="9" t="s">
        <v>127</v>
      </c>
      <c r="F60" s="9" t="s">
        <v>422</v>
      </c>
      <c r="G60" s="9"/>
    </row>
    <row r="61" ht="15.75" customHeight="1">
      <c r="A61" s="11">
        <v>46294.0</v>
      </c>
      <c r="B61" s="9" t="s">
        <v>122</v>
      </c>
      <c r="C61" s="9" t="s">
        <v>443</v>
      </c>
      <c r="D61" s="9" t="s">
        <v>171</v>
      </c>
      <c r="E61" s="9" t="s">
        <v>103</v>
      </c>
      <c r="F61" s="9" t="s">
        <v>448</v>
      </c>
      <c r="G61" s="9"/>
    </row>
    <row r="62" ht="15.75" customHeight="1">
      <c r="A62" s="11">
        <v>46294.0</v>
      </c>
      <c r="B62" s="9" t="s">
        <v>315</v>
      </c>
      <c r="C62" s="9" t="s">
        <v>449</v>
      </c>
      <c r="D62" s="9" t="s">
        <v>125</v>
      </c>
      <c r="E62" s="9" t="s">
        <v>127</v>
      </c>
      <c r="F62" s="9" t="s">
        <v>450</v>
      </c>
      <c r="G62" s="9"/>
    </row>
    <row r="63" ht="15.75" customHeight="1">
      <c r="A63" s="11">
        <v>46294.0</v>
      </c>
      <c r="B63" s="9" t="s">
        <v>438</v>
      </c>
      <c r="C63" s="9" t="s">
        <v>439</v>
      </c>
      <c r="D63" s="9" t="s">
        <v>125</v>
      </c>
      <c r="E63" s="9" t="s">
        <v>115</v>
      </c>
      <c r="F63" s="9" t="s">
        <v>249</v>
      </c>
      <c r="G63" s="9"/>
    </row>
    <row r="64" ht="15.75" customHeight="1">
      <c r="A64" s="11">
        <v>46294.0</v>
      </c>
      <c r="B64" s="9" t="s">
        <v>385</v>
      </c>
      <c r="C64" s="9" t="s">
        <v>388</v>
      </c>
      <c r="D64" s="9" t="s">
        <v>82</v>
      </c>
      <c r="E64" s="9" t="s">
        <v>73</v>
      </c>
      <c r="F64" s="9" t="s">
        <v>456</v>
      </c>
      <c r="G64" s="9"/>
    </row>
    <row r="65" ht="15.75" customHeight="1">
      <c r="A65" s="11">
        <v>46295.0</v>
      </c>
      <c r="B65" s="9" t="s">
        <v>80</v>
      </c>
      <c r="C65" s="9" t="s">
        <v>81</v>
      </c>
      <c r="D65" s="9" t="s">
        <v>205</v>
      </c>
      <c r="E65" s="9" t="s">
        <v>115</v>
      </c>
      <c r="F65" s="9" t="s">
        <v>339</v>
      </c>
      <c r="G65" s="9"/>
    </row>
    <row r="66" ht="15.75" customHeight="1">
      <c r="A66" s="11">
        <v>46295.0</v>
      </c>
      <c r="B66" s="9" t="s">
        <v>147</v>
      </c>
      <c r="C66" s="9" t="s">
        <v>149</v>
      </c>
      <c r="D66" s="9" t="s">
        <v>101</v>
      </c>
      <c r="E66" s="9" t="s">
        <v>73</v>
      </c>
      <c r="F66" s="9" t="s">
        <v>459</v>
      </c>
      <c r="G66" s="9"/>
    </row>
    <row r="67" ht="15.75" customHeight="1">
      <c r="A67" s="11">
        <v>46295.0</v>
      </c>
      <c r="B67" s="9" t="s">
        <v>413</v>
      </c>
      <c r="C67" s="9" t="s">
        <v>414</v>
      </c>
      <c r="D67" s="9" t="s">
        <v>82</v>
      </c>
      <c r="E67" s="9" t="s">
        <v>73</v>
      </c>
      <c r="F67" s="9" t="s">
        <v>448</v>
      </c>
      <c r="G67" s="9"/>
    </row>
    <row r="68" ht="15.75" customHeight="1">
      <c r="A68" s="11">
        <v>46296.0</v>
      </c>
      <c r="B68" s="9" t="s">
        <v>466</v>
      </c>
      <c r="C68" s="9" t="s">
        <v>467</v>
      </c>
      <c r="D68" s="9" t="s">
        <v>141</v>
      </c>
      <c r="E68" s="9" t="s">
        <v>115</v>
      </c>
      <c r="F68" s="9" t="s">
        <v>299</v>
      </c>
      <c r="G68" s="9"/>
    </row>
    <row r="69" ht="15.75" customHeight="1">
      <c r="A69" s="11">
        <v>46296.0</v>
      </c>
      <c r="B69" s="9" t="s">
        <v>312</v>
      </c>
      <c r="C69" s="9" t="s">
        <v>314</v>
      </c>
      <c r="D69" s="9" t="s">
        <v>151</v>
      </c>
      <c r="E69" s="9" t="s">
        <v>127</v>
      </c>
      <c r="F69" s="9" t="s">
        <v>448</v>
      </c>
      <c r="G69" s="9"/>
    </row>
    <row r="70" ht="15.75" customHeight="1">
      <c r="A70" s="11">
        <v>46296.0</v>
      </c>
      <c r="B70" s="9" t="s">
        <v>442</v>
      </c>
      <c r="C70" s="9" t="s">
        <v>468</v>
      </c>
      <c r="D70" s="9" t="s">
        <v>92</v>
      </c>
      <c r="E70" s="9" t="s">
        <v>73</v>
      </c>
      <c r="F70" s="9" t="s">
        <v>378</v>
      </c>
      <c r="G70" s="9"/>
    </row>
    <row r="71" ht="15.75" customHeight="1">
      <c r="A71" s="11">
        <v>46296.0</v>
      </c>
      <c r="B71" s="9" t="s">
        <v>69</v>
      </c>
      <c r="C71" s="9" t="s">
        <v>70</v>
      </c>
      <c r="D71" s="9" t="s">
        <v>92</v>
      </c>
      <c r="E71" s="9" t="s">
        <v>73</v>
      </c>
      <c r="F71" s="9" t="s">
        <v>330</v>
      </c>
      <c r="G71" s="9"/>
    </row>
    <row r="72" ht="15.75" customHeight="1">
      <c r="A72" s="11">
        <v>46297.0</v>
      </c>
      <c r="B72" s="9" t="s">
        <v>34</v>
      </c>
      <c r="C72" s="9" t="s">
        <v>474</v>
      </c>
      <c r="D72" s="9" t="s">
        <v>159</v>
      </c>
      <c r="E72" s="9" t="s">
        <v>73</v>
      </c>
      <c r="F72" s="9" t="s">
        <v>84</v>
      </c>
      <c r="G72" s="9"/>
    </row>
    <row r="73" ht="15.75" customHeight="1">
      <c r="A73" s="11">
        <v>46297.0</v>
      </c>
      <c r="B73" s="9" t="s">
        <v>334</v>
      </c>
      <c r="C73" s="9" t="s">
        <v>336</v>
      </c>
      <c r="D73" s="9" t="s">
        <v>296</v>
      </c>
      <c r="E73" s="9" t="s">
        <v>127</v>
      </c>
      <c r="F73" s="9" t="s">
        <v>330</v>
      </c>
      <c r="G73" s="9"/>
    </row>
    <row r="74" ht="15.75" customHeight="1">
      <c r="A74" s="11">
        <v>46297.0</v>
      </c>
      <c r="B74" s="9" t="s">
        <v>475</v>
      </c>
      <c r="C74" s="9" t="s">
        <v>476</v>
      </c>
      <c r="D74" s="9" t="s">
        <v>125</v>
      </c>
      <c r="E74" s="9" t="s">
        <v>73</v>
      </c>
      <c r="F74" s="9" t="s">
        <v>105</v>
      </c>
      <c r="G74" s="9"/>
    </row>
    <row r="75" ht="15.75" customHeight="1">
      <c r="A75" s="11">
        <v>46297.0</v>
      </c>
      <c r="B75" s="9" t="s">
        <v>379</v>
      </c>
      <c r="C75" s="9" t="s">
        <v>380</v>
      </c>
      <c r="D75" s="9" t="s">
        <v>82</v>
      </c>
      <c r="E75" s="9" t="s">
        <v>73</v>
      </c>
      <c r="F75" s="9" t="s">
        <v>477</v>
      </c>
      <c r="G75" s="11">
        <v>46300.0</v>
      </c>
    </row>
    <row r="76" ht="15.75" customHeight="1">
      <c r="A76" s="11">
        <v>46297.0</v>
      </c>
      <c r="B76" s="9" t="s">
        <v>385</v>
      </c>
      <c r="C76" s="9" t="s">
        <v>388</v>
      </c>
      <c r="D76" s="9" t="s">
        <v>205</v>
      </c>
      <c r="E76" s="9" t="s">
        <v>73</v>
      </c>
      <c r="F76" s="9" t="s">
        <v>483</v>
      </c>
      <c r="G76" s="9"/>
    </row>
    <row r="77" ht="15.75" customHeight="1">
      <c r="A77" s="11">
        <v>46298.0</v>
      </c>
      <c r="B77" s="9" t="s">
        <v>122</v>
      </c>
      <c r="C77" s="9" t="s">
        <v>443</v>
      </c>
      <c r="D77" s="9" t="s">
        <v>171</v>
      </c>
      <c r="E77" s="9" t="s">
        <v>115</v>
      </c>
      <c r="F77" s="9" t="s">
        <v>330</v>
      </c>
      <c r="G77" s="9"/>
    </row>
    <row r="78" ht="15.75" customHeight="1">
      <c r="A78" s="11">
        <v>46298.0</v>
      </c>
      <c r="B78" s="9" t="s">
        <v>406</v>
      </c>
      <c r="C78" s="9" t="s">
        <v>407</v>
      </c>
      <c r="D78" s="9" t="s">
        <v>141</v>
      </c>
      <c r="E78" s="9" t="s">
        <v>73</v>
      </c>
      <c r="F78" s="9" t="s">
        <v>185</v>
      </c>
      <c r="G78" s="9"/>
    </row>
    <row r="79" ht="15.75" customHeight="1">
      <c r="A79" s="11">
        <v>46298.0</v>
      </c>
      <c r="B79" s="9" t="s">
        <v>442</v>
      </c>
      <c r="C79" s="9" t="s">
        <v>468</v>
      </c>
      <c r="D79" s="9" t="s">
        <v>71</v>
      </c>
      <c r="E79" s="9" t="s">
        <v>127</v>
      </c>
      <c r="F79" s="9" t="s">
        <v>484</v>
      </c>
      <c r="G79" s="9"/>
    </row>
    <row r="80" ht="15.75" customHeight="1">
      <c r="A80" s="11">
        <v>46299.0</v>
      </c>
      <c r="B80" s="9" t="s">
        <v>122</v>
      </c>
      <c r="C80" s="9" t="s">
        <v>443</v>
      </c>
      <c r="D80" s="9" t="s">
        <v>82</v>
      </c>
      <c r="E80" s="9" t="s">
        <v>115</v>
      </c>
      <c r="F80" s="9" t="s">
        <v>265</v>
      </c>
      <c r="G80" s="9"/>
    </row>
    <row r="81" ht="15.75" customHeight="1">
      <c r="A81" s="11">
        <v>46299.0</v>
      </c>
      <c r="B81" s="9" t="s">
        <v>466</v>
      </c>
      <c r="C81" s="9" t="s">
        <v>467</v>
      </c>
      <c r="D81" s="9" t="s">
        <v>151</v>
      </c>
      <c r="E81" s="9" t="s">
        <v>73</v>
      </c>
      <c r="F81" s="9" t="s">
        <v>378</v>
      </c>
      <c r="G81" s="9"/>
    </row>
    <row r="82" ht="15.75" customHeight="1">
      <c r="A82" s="11">
        <v>46300.0</v>
      </c>
      <c r="B82" s="9" t="s">
        <v>430</v>
      </c>
      <c r="C82" s="9" t="s">
        <v>431</v>
      </c>
      <c r="D82" s="9" t="s">
        <v>82</v>
      </c>
      <c r="E82" s="9" t="s">
        <v>73</v>
      </c>
      <c r="F82" s="9" t="s">
        <v>378</v>
      </c>
      <c r="G82" s="9"/>
    </row>
    <row r="83" ht="15.75" customHeight="1">
      <c r="A83" s="11">
        <v>46300.0</v>
      </c>
      <c r="B83" s="9" t="s">
        <v>430</v>
      </c>
      <c r="C83" s="9" t="s">
        <v>431</v>
      </c>
      <c r="D83" s="9" t="s">
        <v>205</v>
      </c>
      <c r="E83" s="9" t="s">
        <v>103</v>
      </c>
      <c r="F83" s="9" t="s">
        <v>84</v>
      </c>
      <c r="G83" s="9"/>
    </row>
    <row r="84" ht="15.75" customHeight="1">
      <c r="A84" s="11">
        <v>46300.0</v>
      </c>
      <c r="B84" s="9" t="s">
        <v>385</v>
      </c>
      <c r="C84" s="9" t="s">
        <v>388</v>
      </c>
      <c r="D84" s="9" t="s">
        <v>82</v>
      </c>
      <c r="E84" s="9" t="s">
        <v>127</v>
      </c>
      <c r="F84" s="9" t="s">
        <v>176</v>
      </c>
      <c r="G84" s="9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8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2026-09-21T15:39:41Z</dcterms:created>
  <dc:creator>openpyxl</dc:creator>
</cp:coreProperties>
</file>